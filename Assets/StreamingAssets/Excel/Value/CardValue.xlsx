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NR Classes and Files\CS 425 - Software Engineering\Senior Projects - Game\CS425-426\Assets\StreamingAssets\Excel\Value\"/>
    </mc:Choice>
  </mc:AlternateContent>
  <xr:revisionPtr revIDLastSave="0" documentId="13_ncr:1_{E3040AA9-CC13-4E2E-AE88-30F7E2B8FD2C}" xr6:coauthVersionLast="47" xr6:coauthVersionMax="47" xr10:uidLastSave="{00000000-0000-0000-0000-000000000000}"/>
  <bookViews>
    <workbookView xWindow="5370" yWindow="3555" windowWidth="21600" windowHeight="11295" xr2:uid="{00000000-000D-0000-FFFF-FFFF00000000}"/>
  </bookViews>
  <sheets>
    <sheet name="CardValue" sheetId="1" r:id="rId1"/>
    <sheet name="CardFunc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1" l="1"/>
  <c r="A22" i="1"/>
  <c r="A21" i="1"/>
  <c r="A8" i="1"/>
  <c r="C6" i="2"/>
  <c r="A20" i="1"/>
  <c r="A19" i="1"/>
  <c r="A4" i="1"/>
  <c r="A5" i="1"/>
  <c r="A6" i="1"/>
  <c r="A7" i="1"/>
  <c r="A9" i="1"/>
  <c r="A10" i="1"/>
  <c r="A11" i="1"/>
  <c r="A12" i="1"/>
  <c r="A13" i="1"/>
  <c r="A14" i="1"/>
  <c r="A15" i="1"/>
  <c r="A16" i="1"/>
  <c r="A17" i="1"/>
  <c r="A18" i="1"/>
  <c r="A3" i="1"/>
  <c r="A2" i="1"/>
  <c r="E2" i="2" s="1"/>
  <c r="C5" i="2" l="1"/>
  <c r="C4" i="2"/>
  <c r="E3" i="2"/>
  <c r="H2" i="2"/>
  <c r="C3" i="2"/>
  <c r="H12" i="2"/>
  <c r="H11" i="2"/>
  <c r="E12" i="2"/>
  <c r="H10" i="2"/>
  <c r="E11" i="2"/>
  <c r="H9" i="2"/>
  <c r="E10" i="2"/>
  <c r="H8" i="2"/>
  <c r="H7" i="2"/>
  <c r="C2" i="2"/>
  <c r="C9" i="2"/>
  <c r="E6" i="2"/>
  <c r="H4" i="2"/>
  <c r="H3" i="2"/>
  <c r="C12" i="2"/>
  <c r="E9" i="2"/>
  <c r="C11" i="2"/>
  <c r="E8" i="2"/>
  <c r="H6" i="2"/>
  <c r="C10" i="2"/>
  <c r="E7" i="2"/>
  <c r="H5" i="2"/>
  <c r="C8" i="2"/>
  <c r="E5" i="2"/>
  <c r="C7" i="2"/>
  <c r="E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ABB4FF9-8BDF-459E-9FA9-ABAEEBF6F713}" keepAlive="1" name="Query - Untitled document (2)" description="Connection to the 'Untitled document (2)' query in the workbook." type="5" refreshedVersion="0" background="1">
    <dbPr connection="Provider=Microsoft.Mashup.OleDb.1;Data Source=$Workbook$;Location=&quot;Untitled document (2)&quot;;Extended Properties=&quot;&quot;" command="SELECT * FROM [Untitled document (2)]"/>
  </connection>
  <connection id="2" xr16:uid="{AE89433B-B08A-451F-8A32-CBE6ADBE2089}" keepAlive="1" name="Query - Untitled document (3)" description="Connection to the 'Untitled document (3)' query in the workbook." type="5" refreshedVersion="8" background="1" saveData="1">
    <dbPr connection="Provider=Microsoft.Mashup.OleDb.1;Data Source=$Workbook$;Location=&quot;Untitled document (3)&quot;;Extended Properties=&quot;&quot;" command="SELECT * FROM [Untitled document (3)]"/>
  </connection>
  <connection id="3" xr16:uid="{9F23D0C8-1228-48A3-969F-8626F1CD23D3}" keepAlive="1" name="Query - Untitled document (4)" description="Connection to the 'Untitled document (4)' query in the workbook." type="5" refreshedVersion="0" background="1">
    <dbPr connection="Provider=Microsoft.Mashup.OleDb.1;Data Source=$Workbook$;Location=&quot;Untitled document (4)&quot;;Extended Properties=&quot;&quot;" command="SELECT * FROM [Untitled document (4)]"/>
  </connection>
</connections>
</file>

<file path=xl/sharedStrings.xml><?xml version="1.0" encoding="utf-8"?>
<sst xmlns="http://schemas.openxmlformats.org/spreadsheetml/2006/main" count="103" uniqueCount="59">
  <si>
    <t>ID</t>
  </si>
  <si>
    <t>CardName</t>
  </si>
  <si>
    <t>CardDescribe</t>
  </si>
  <si>
    <t>Bandage</t>
  </si>
  <si>
    <t>None</t>
  </si>
  <si>
    <t>Rarity (0 = Common, 1 = Rare, 2 =VeryRare, 3 = Epic)</t>
  </si>
  <si>
    <t>SupportItems</t>
  </si>
  <si>
    <t xml:space="preserve">Card Type </t>
  </si>
  <si>
    <t>Syringe</t>
  </si>
  <si>
    <t>Medkit</t>
  </si>
  <si>
    <t>Revival Serum</t>
  </si>
  <si>
    <t>Health Potion</t>
  </si>
  <si>
    <t>Energy Potion</t>
  </si>
  <si>
    <t>Antidote Potion</t>
  </si>
  <si>
    <t>Field Surgery Kit</t>
  </si>
  <si>
    <t>Adrenal Medkit</t>
  </si>
  <si>
    <t>Combat Patch</t>
  </si>
  <si>
    <t>Berserker Wrap</t>
  </si>
  <si>
    <t>Stimulant Wrap</t>
  </si>
  <si>
    <t>Liquid Courage Kit</t>
  </si>
  <si>
    <t>Rapid Recovery Injector</t>
  </si>
  <si>
    <t>Phoenix Shot</t>
  </si>
  <si>
    <t>Card Effect</t>
  </si>
  <si>
    <t>Function ID</t>
  </si>
  <si>
    <t>Card 1 ID</t>
  </si>
  <si>
    <t>Card 1 Name(Not involved in script)</t>
  </si>
  <si>
    <t>Card 2 ID</t>
  </si>
  <si>
    <t>Card 2 Name(Not involved in script)</t>
  </si>
  <si>
    <t>Fail Chance</t>
  </si>
  <si>
    <t>Result ID</t>
  </si>
  <si>
    <t>Result Card Name(Not involved in script)</t>
  </si>
  <si>
    <t>Boosted Buzz</t>
  </si>
  <si>
    <t>Heals player (15%)</t>
  </si>
  <si>
    <t>Increases critical damage by 2% for the player</t>
  </si>
  <si>
    <t>Heals a large amount of health (50%)</t>
  </si>
  <si>
    <t>Increases defense and attack (25%)</t>
  </si>
  <si>
    <t>Increases player’s critical chance (20%)</t>
  </si>
  <si>
    <t>Give All Enemy 10 Damage</t>
  </si>
  <si>
    <t>Restores 100 Health</t>
  </si>
  <si>
    <t>Increases Attack 5 and Reduce Health 5</t>
  </si>
  <si>
    <t>Increases Attack 20 and Reduce Health 20%</t>
  </si>
  <si>
    <t>Give 1 enemy 100 Damage</t>
  </si>
  <si>
    <t>Add Health 50% and Reduce Defense 20%</t>
  </si>
  <si>
    <t>Add Health 50%, Add Attack 50% and Reduce Defense 50%</t>
  </si>
  <si>
    <t>Reflex Tonic</t>
  </si>
  <si>
    <t>Emergency Capsule</t>
  </si>
  <si>
    <t>Fury Catalyst</t>
  </si>
  <si>
    <t>Reduce Health 20% and Add Attack 20%</t>
  </si>
  <si>
    <t>Reduce Health 20% and Add Defense 20%</t>
  </si>
  <si>
    <t>Increases Attack by 10</t>
  </si>
  <si>
    <t>Increases Attack by 20%</t>
  </si>
  <si>
    <t>Increases Attack by 5 and then 5%</t>
  </si>
  <si>
    <t>Restores 20 Health</t>
  </si>
  <si>
    <t>Stamina Capsule</t>
  </si>
  <si>
    <t>Key</t>
  </si>
  <si>
    <t>Use to unlock locked doors</t>
  </si>
  <si>
    <t>Cure</t>
  </si>
  <si>
    <t>Use to cure someone of the zombie virus</t>
  </si>
  <si>
    <t>Increases attack (25%) but also decreases defense and health (50%)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</si>
</sst>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"/>
  <sheetViews>
    <sheetView tabSelected="1" topLeftCell="C1" workbookViewId="0">
      <selection activeCell="F7" sqref="F7"/>
    </sheetView>
  </sheetViews>
  <sheetFormatPr defaultRowHeight="15" x14ac:dyDescent="0.25"/>
  <cols>
    <col min="2" max="3" width="19.7109375" customWidth="1"/>
    <col min="4" max="4" width="7.7109375" customWidth="1"/>
    <col min="5" max="5" width="11.28515625" customWidth="1"/>
    <col min="6" max="6" width="139" customWidth="1"/>
    <col min="7" max="7" width="121.42578125" customWidth="1"/>
  </cols>
  <sheetData>
    <row r="1" spans="1:7" x14ac:dyDescent="0.25">
      <c r="A1" t="s">
        <v>0</v>
      </c>
      <c r="B1" t="s">
        <v>1</v>
      </c>
      <c r="C1" t="s">
        <v>7</v>
      </c>
      <c r="D1" t="s">
        <v>5</v>
      </c>
      <c r="E1" t="s">
        <v>4</v>
      </c>
      <c r="F1" t="s">
        <v>2</v>
      </c>
      <c r="G1" t="s">
        <v>22</v>
      </c>
    </row>
    <row r="2" spans="1:7" x14ac:dyDescent="0.25">
      <c r="A2">
        <f>ROW()-2</f>
        <v>0</v>
      </c>
      <c r="B2" t="s">
        <v>15</v>
      </c>
      <c r="C2" t="s">
        <v>6</v>
      </c>
      <c r="D2">
        <v>0</v>
      </c>
      <c r="E2" t="s">
        <v>4</v>
      </c>
      <c r="F2" t="s">
        <v>32</v>
      </c>
    </row>
    <row r="3" spans="1:7" x14ac:dyDescent="0.25">
      <c r="A3">
        <f t="shared" ref="A3:A19" si="0">ROW()-2</f>
        <v>1</v>
      </c>
      <c r="B3" t="s">
        <v>13</v>
      </c>
      <c r="C3" t="s">
        <v>6</v>
      </c>
      <c r="D3">
        <v>0</v>
      </c>
      <c r="E3" t="s">
        <v>4</v>
      </c>
      <c r="F3" t="s">
        <v>33</v>
      </c>
    </row>
    <row r="4" spans="1:7" x14ac:dyDescent="0.25">
      <c r="A4">
        <f t="shared" si="0"/>
        <v>2</v>
      </c>
      <c r="B4" t="s">
        <v>3</v>
      </c>
      <c r="C4" t="s">
        <v>6</v>
      </c>
      <c r="D4">
        <v>0</v>
      </c>
      <c r="E4" t="s">
        <v>4</v>
      </c>
      <c r="F4" t="s">
        <v>34</v>
      </c>
    </row>
    <row r="5" spans="1:7" x14ac:dyDescent="0.25">
      <c r="A5">
        <f t="shared" si="0"/>
        <v>3</v>
      </c>
      <c r="B5" t="s">
        <v>44</v>
      </c>
      <c r="C5" t="s">
        <v>6</v>
      </c>
      <c r="D5">
        <v>0</v>
      </c>
      <c r="E5" t="s">
        <v>4</v>
      </c>
      <c r="F5" t="s">
        <v>49</v>
      </c>
    </row>
    <row r="6" spans="1:7" x14ac:dyDescent="0.25">
      <c r="A6">
        <f t="shared" si="0"/>
        <v>4</v>
      </c>
      <c r="B6" t="s">
        <v>17</v>
      </c>
      <c r="C6" t="s">
        <v>6</v>
      </c>
      <c r="D6">
        <v>0</v>
      </c>
      <c r="E6" t="s">
        <v>4</v>
      </c>
      <c r="F6" t="s">
        <v>50</v>
      </c>
    </row>
    <row r="7" spans="1:7" x14ac:dyDescent="0.25">
      <c r="A7">
        <f t="shared" si="0"/>
        <v>5</v>
      </c>
      <c r="B7" t="s">
        <v>31</v>
      </c>
      <c r="C7" t="s">
        <v>6</v>
      </c>
      <c r="D7">
        <v>0</v>
      </c>
      <c r="E7" t="s">
        <v>4</v>
      </c>
      <c r="F7" t="s">
        <v>58</v>
      </c>
    </row>
    <row r="8" spans="1:7" x14ac:dyDescent="0.25">
      <c r="A8">
        <f>ROW()-2</f>
        <v>6</v>
      </c>
      <c r="B8" t="s">
        <v>16</v>
      </c>
      <c r="C8" t="s">
        <v>6</v>
      </c>
      <c r="D8">
        <v>0</v>
      </c>
      <c r="E8" t="s">
        <v>4</v>
      </c>
      <c r="F8" t="s">
        <v>35</v>
      </c>
    </row>
    <row r="9" spans="1:7" x14ac:dyDescent="0.25">
      <c r="A9">
        <f t="shared" si="0"/>
        <v>7</v>
      </c>
      <c r="B9" t="s">
        <v>53</v>
      </c>
      <c r="C9" t="s">
        <v>6</v>
      </c>
      <c r="D9">
        <v>0</v>
      </c>
      <c r="E9" t="s">
        <v>4</v>
      </c>
      <c r="F9" t="s">
        <v>36</v>
      </c>
    </row>
    <row r="10" spans="1:7" x14ac:dyDescent="0.25">
      <c r="A10">
        <f t="shared" si="0"/>
        <v>8</v>
      </c>
      <c r="B10" t="s">
        <v>12</v>
      </c>
      <c r="C10" t="s">
        <v>6</v>
      </c>
      <c r="D10">
        <v>0</v>
      </c>
      <c r="E10" t="s">
        <v>4</v>
      </c>
      <c r="F10" t="s">
        <v>43</v>
      </c>
    </row>
    <row r="11" spans="1:7" x14ac:dyDescent="0.25">
      <c r="A11">
        <f t="shared" si="0"/>
        <v>9</v>
      </c>
      <c r="B11" t="s">
        <v>14</v>
      </c>
      <c r="C11" t="s">
        <v>6</v>
      </c>
      <c r="D11">
        <v>0</v>
      </c>
      <c r="E11" t="s">
        <v>4</v>
      </c>
      <c r="F11" t="s">
        <v>38</v>
      </c>
    </row>
    <row r="12" spans="1:7" x14ac:dyDescent="0.25">
      <c r="A12">
        <f t="shared" si="0"/>
        <v>10</v>
      </c>
      <c r="B12" t="s">
        <v>11</v>
      </c>
      <c r="C12" t="s">
        <v>6</v>
      </c>
      <c r="D12">
        <v>0</v>
      </c>
      <c r="E12" t="s">
        <v>4</v>
      </c>
      <c r="F12" t="s">
        <v>38</v>
      </c>
    </row>
    <row r="13" spans="1:7" x14ac:dyDescent="0.25">
      <c r="A13">
        <f t="shared" si="0"/>
        <v>11</v>
      </c>
      <c r="B13" t="s">
        <v>19</v>
      </c>
      <c r="C13" t="s">
        <v>6</v>
      </c>
      <c r="D13">
        <v>0</v>
      </c>
      <c r="E13" t="s">
        <v>4</v>
      </c>
      <c r="F13" t="s">
        <v>51</v>
      </c>
    </row>
    <row r="14" spans="1:7" x14ac:dyDescent="0.25">
      <c r="A14">
        <f t="shared" si="0"/>
        <v>12</v>
      </c>
      <c r="B14" t="s">
        <v>9</v>
      </c>
      <c r="C14" t="s">
        <v>6</v>
      </c>
      <c r="D14">
        <v>0</v>
      </c>
      <c r="E14" t="s">
        <v>4</v>
      </c>
      <c r="F14" t="s">
        <v>52</v>
      </c>
    </row>
    <row r="15" spans="1:7" x14ac:dyDescent="0.25">
      <c r="A15">
        <f t="shared" si="0"/>
        <v>13</v>
      </c>
      <c r="B15" t="s">
        <v>21</v>
      </c>
      <c r="C15" t="s">
        <v>6</v>
      </c>
      <c r="D15">
        <v>0</v>
      </c>
      <c r="E15" t="s">
        <v>4</v>
      </c>
      <c r="F15" t="s">
        <v>37</v>
      </c>
    </row>
    <row r="16" spans="1:7" x14ac:dyDescent="0.25">
      <c r="A16">
        <f t="shared" si="0"/>
        <v>14</v>
      </c>
      <c r="B16" t="s">
        <v>45</v>
      </c>
      <c r="C16" t="s">
        <v>6</v>
      </c>
      <c r="D16">
        <v>0</v>
      </c>
      <c r="E16" t="s">
        <v>4</v>
      </c>
      <c r="F16" t="s">
        <v>39</v>
      </c>
    </row>
    <row r="17" spans="1:6" x14ac:dyDescent="0.25">
      <c r="A17">
        <f t="shared" si="0"/>
        <v>15</v>
      </c>
      <c r="B17" t="s">
        <v>46</v>
      </c>
      <c r="C17" t="s">
        <v>6</v>
      </c>
      <c r="D17">
        <v>0</v>
      </c>
      <c r="E17" t="s">
        <v>4</v>
      </c>
      <c r="F17" t="s">
        <v>40</v>
      </c>
    </row>
    <row r="18" spans="1:6" x14ac:dyDescent="0.25">
      <c r="A18">
        <f t="shared" si="0"/>
        <v>16</v>
      </c>
      <c r="B18" t="s">
        <v>20</v>
      </c>
      <c r="C18" t="s">
        <v>6</v>
      </c>
      <c r="D18">
        <v>0</v>
      </c>
      <c r="E18" t="s">
        <v>4</v>
      </c>
      <c r="F18" t="s">
        <v>42</v>
      </c>
    </row>
    <row r="19" spans="1:6" x14ac:dyDescent="0.25">
      <c r="A19">
        <f t="shared" si="0"/>
        <v>17</v>
      </c>
      <c r="B19" t="s">
        <v>10</v>
      </c>
      <c r="C19" t="s">
        <v>6</v>
      </c>
      <c r="D19">
        <v>0</v>
      </c>
      <c r="E19" t="s">
        <v>4</v>
      </c>
      <c r="F19" t="s">
        <v>41</v>
      </c>
    </row>
    <row r="20" spans="1:6" x14ac:dyDescent="0.25">
      <c r="A20">
        <f t="shared" ref="A20" si="1">ROW()-2</f>
        <v>18</v>
      </c>
      <c r="B20" t="s">
        <v>18</v>
      </c>
      <c r="C20" t="s">
        <v>6</v>
      </c>
      <c r="D20">
        <v>0</v>
      </c>
      <c r="E20" t="s">
        <v>4</v>
      </c>
      <c r="F20" t="s">
        <v>47</v>
      </c>
    </row>
    <row r="21" spans="1:6" x14ac:dyDescent="0.25">
      <c r="A21">
        <f>ROW()-2</f>
        <v>19</v>
      </c>
      <c r="B21" t="s">
        <v>8</v>
      </c>
      <c r="C21" t="s">
        <v>6</v>
      </c>
      <c r="D21">
        <v>0</v>
      </c>
      <c r="E21" t="s">
        <v>4</v>
      </c>
      <c r="F21" t="s">
        <v>48</v>
      </c>
    </row>
    <row r="22" spans="1:6" x14ac:dyDescent="0.25">
      <c r="A22">
        <f>ROW()-2</f>
        <v>20</v>
      </c>
      <c r="B22" t="s">
        <v>54</v>
      </c>
      <c r="C22" t="s">
        <v>6</v>
      </c>
      <c r="D22">
        <v>0</v>
      </c>
      <c r="E22" t="s">
        <v>4</v>
      </c>
      <c r="F22" t="s">
        <v>55</v>
      </c>
    </row>
    <row r="23" spans="1:6" x14ac:dyDescent="0.25">
      <c r="A23">
        <f>ROW() - 2</f>
        <v>21</v>
      </c>
      <c r="B23" t="s">
        <v>56</v>
      </c>
      <c r="C23" t="s">
        <v>6</v>
      </c>
      <c r="D23">
        <v>0</v>
      </c>
      <c r="E23" t="s">
        <v>4</v>
      </c>
      <c r="F23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8835D-C5E1-4D14-A337-01CA5B66900E}">
  <dimension ref="A1:H12"/>
  <sheetViews>
    <sheetView workbookViewId="0">
      <selection activeCell="H17" sqref="H17"/>
    </sheetView>
  </sheetViews>
  <sheetFormatPr defaultRowHeight="15" x14ac:dyDescent="0.25"/>
  <cols>
    <col min="3" max="3" width="26.140625" customWidth="1"/>
    <col min="5" max="5" width="33.140625" bestFit="1" customWidth="1"/>
    <col min="8" max="8" width="21.85546875" customWidth="1"/>
  </cols>
  <sheetData>
    <row r="1" spans="1:8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</row>
    <row r="2" spans="1:8" x14ac:dyDescent="0.25">
      <c r="A2">
        <v>0</v>
      </c>
      <c r="B2">
        <v>0</v>
      </c>
      <c r="C2" t="str">
        <f>VLOOKUP(B2, CardValue!A:B, 2, FALSE)</f>
        <v>Adrenal Medkit</v>
      </c>
      <c r="D2">
        <v>2</v>
      </c>
      <c r="E2" t="str">
        <f>VLOOKUP(D2, CardValue!A:B, 2, FALSE)</f>
        <v>Bandage</v>
      </c>
      <c r="F2">
        <v>0.1</v>
      </c>
      <c r="G2">
        <v>11</v>
      </c>
      <c r="H2" t="str">
        <f>VLOOKUP(G2, CardValue!A:B, 2, FALSE)</f>
        <v>Liquid Courage Kit</v>
      </c>
    </row>
    <row r="3" spans="1:8" x14ac:dyDescent="0.25">
      <c r="A3">
        <v>1</v>
      </c>
      <c r="B3">
        <v>0</v>
      </c>
      <c r="C3" t="str">
        <f>VLOOKUP(B3, CardValue!A:B, 2, FALSE)</f>
        <v>Adrenal Medkit</v>
      </c>
      <c r="D3">
        <v>1</v>
      </c>
      <c r="E3" t="str">
        <f>VLOOKUP(D3, CardValue!A:B, 2, FALSE)</f>
        <v>Antidote Potion</v>
      </c>
      <c r="F3">
        <v>0.1</v>
      </c>
      <c r="G3">
        <v>12</v>
      </c>
      <c r="H3" t="str">
        <f>VLOOKUP(G3, CardValue!A:B, 2, FALSE)</f>
        <v>Medkit</v>
      </c>
    </row>
    <row r="4" spans="1:8" x14ac:dyDescent="0.25">
      <c r="A4">
        <v>2</v>
      </c>
      <c r="B4">
        <v>0</v>
      </c>
      <c r="C4" t="str">
        <f>VLOOKUP(B4, CardValue!A:B, 2, FALSE)</f>
        <v>Adrenal Medkit</v>
      </c>
      <c r="D4">
        <v>4</v>
      </c>
      <c r="E4" t="str">
        <f>VLOOKUP(D4, CardValue!A:B, 2, FALSE)</f>
        <v>Berserker Wrap</v>
      </c>
      <c r="F4">
        <v>0.1</v>
      </c>
      <c r="G4">
        <v>13</v>
      </c>
      <c r="H4" t="str">
        <f>VLOOKUP(G4, CardValue!A:B, 2, FALSE)</f>
        <v>Phoenix Shot</v>
      </c>
    </row>
    <row r="5" spans="1:8" x14ac:dyDescent="0.25">
      <c r="A5">
        <v>3</v>
      </c>
      <c r="B5">
        <v>0</v>
      </c>
      <c r="C5" t="str">
        <f>VLOOKUP(B5, CardValue!A:B, 2, FALSE)</f>
        <v>Adrenal Medkit</v>
      </c>
      <c r="D5">
        <v>5</v>
      </c>
      <c r="E5" t="str">
        <f>VLOOKUP(D5, CardValue!A:B, 2, FALSE)</f>
        <v>Boosted Buzz</v>
      </c>
      <c r="F5">
        <v>0.1</v>
      </c>
      <c r="G5">
        <v>14</v>
      </c>
      <c r="H5" t="str">
        <f>VLOOKUP(G5, CardValue!A:B, 2, FALSE)</f>
        <v>Emergency Capsule</v>
      </c>
    </row>
    <row r="6" spans="1:8" x14ac:dyDescent="0.25">
      <c r="A6">
        <v>4</v>
      </c>
      <c r="B6">
        <v>0</v>
      </c>
      <c r="C6" t="str">
        <f>VLOOKUP(B6, CardValue!A:B, 2, FALSE)</f>
        <v>Adrenal Medkit</v>
      </c>
      <c r="D6">
        <v>6</v>
      </c>
      <c r="E6" t="str">
        <f>VLOOKUP(D6, CardValue!A:B, 2, FALSE)</f>
        <v>Combat Patch</v>
      </c>
      <c r="F6">
        <v>0.1</v>
      </c>
      <c r="G6">
        <v>15</v>
      </c>
      <c r="H6" t="str">
        <f>VLOOKUP(G6, CardValue!A:B, 2, FALSE)</f>
        <v>Fury Catalyst</v>
      </c>
    </row>
    <row r="7" spans="1:8" x14ac:dyDescent="0.25">
      <c r="A7">
        <v>5</v>
      </c>
      <c r="B7">
        <v>0</v>
      </c>
      <c r="C7" t="str">
        <f>VLOOKUP(B7, CardValue!A:B, 2, FALSE)</f>
        <v>Adrenal Medkit</v>
      </c>
      <c r="D7">
        <v>7</v>
      </c>
      <c r="E7" t="str">
        <f>VLOOKUP(D7, CardValue!A:B, 2, FALSE)</f>
        <v>Stamina Capsule</v>
      </c>
      <c r="F7">
        <v>0.1</v>
      </c>
      <c r="G7">
        <v>16</v>
      </c>
      <c r="H7" t="str">
        <f>VLOOKUP(G7, CardValue!A:B, 2, FALSE)</f>
        <v>Rapid Recovery Injector</v>
      </c>
    </row>
    <row r="8" spans="1:8" x14ac:dyDescent="0.25">
      <c r="A8">
        <v>6</v>
      </c>
      <c r="B8">
        <v>1</v>
      </c>
      <c r="C8" t="str">
        <f>VLOOKUP(B8, CardValue!A:B, 2, FALSE)</f>
        <v>Antidote Potion</v>
      </c>
      <c r="D8">
        <v>2</v>
      </c>
      <c r="E8" t="str">
        <f>VLOOKUP(D8, CardValue!A:B, 2, FALSE)</f>
        <v>Bandage</v>
      </c>
      <c r="F8">
        <v>0.1</v>
      </c>
      <c r="G8">
        <v>17</v>
      </c>
      <c r="H8" t="str">
        <f>VLOOKUP(G8, CardValue!A:B, 2, FALSE)</f>
        <v>Revival Serum</v>
      </c>
    </row>
    <row r="9" spans="1:8" x14ac:dyDescent="0.25">
      <c r="A9">
        <v>7</v>
      </c>
      <c r="B9">
        <v>1</v>
      </c>
      <c r="C9" t="str">
        <f>VLOOKUP(B9, CardValue!A:B, 2, FALSE)</f>
        <v>Antidote Potion</v>
      </c>
      <c r="D9">
        <v>3</v>
      </c>
      <c r="E9" t="str">
        <f>VLOOKUP(D9, CardValue!A:B, 2, FALSE)</f>
        <v>Reflex Tonic</v>
      </c>
      <c r="F9">
        <v>0.1</v>
      </c>
      <c r="G9">
        <v>18</v>
      </c>
      <c r="H9" t="str">
        <f>VLOOKUP(G9, CardValue!A:B, 2, FALSE)</f>
        <v>Stimulant Wrap</v>
      </c>
    </row>
    <row r="10" spans="1:8" x14ac:dyDescent="0.25">
      <c r="A10">
        <v>8</v>
      </c>
      <c r="B10">
        <v>1</v>
      </c>
      <c r="C10" t="str">
        <f>VLOOKUP(B10, CardValue!A:B, 2, FALSE)</f>
        <v>Antidote Potion</v>
      </c>
      <c r="D10">
        <v>7</v>
      </c>
      <c r="E10" t="str">
        <f>VLOOKUP(D10, CardValue!A:B, 2, FALSE)</f>
        <v>Stamina Capsule</v>
      </c>
      <c r="F10">
        <v>0.1</v>
      </c>
      <c r="G10">
        <v>19</v>
      </c>
      <c r="H10" t="str">
        <f>VLOOKUP(G10, CardValue!A:B, 2, FALSE)</f>
        <v>Syringe</v>
      </c>
    </row>
    <row r="11" spans="1:8" x14ac:dyDescent="0.25">
      <c r="A11">
        <v>9</v>
      </c>
      <c r="B11">
        <v>4</v>
      </c>
      <c r="C11" t="str">
        <f>VLOOKUP(B11, CardValue!A:B, 2, FALSE)</f>
        <v>Berserker Wrap</v>
      </c>
      <c r="D11">
        <v>5</v>
      </c>
      <c r="E11" t="str">
        <f>VLOOKUP(D11, CardValue!A:B, 2, FALSE)</f>
        <v>Boosted Buzz</v>
      </c>
      <c r="F11">
        <v>0.1</v>
      </c>
      <c r="G11">
        <v>19</v>
      </c>
      <c r="H11" t="str">
        <f>VLOOKUP(G11, CardValue!A:B, 2, FALSE)</f>
        <v>Syringe</v>
      </c>
    </row>
    <row r="12" spans="1:8" x14ac:dyDescent="0.25">
      <c r="A12">
        <v>10</v>
      </c>
      <c r="B12">
        <v>4</v>
      </c>
      <c r="C12" t="str">
        <f>VLOOKUP(B12, CardValue!A:B, 2, FALSE)</f>
        <v>Berserker Wrap</v>
      </c>
      <c r="D12">
        <v>1</v>
      </c>
      <c r="E12" t="str">
        <f>VLOOKUP(D12, CardValue!A:B, 2, FALSE)</f>
        <v>Antidote Potion</v>
      </c>
      <c r="F12">
        <v>0.1</v>
      </c>
      <c r="G12">
        <v>19</v>
      </c>
      <c r="H12" t="str">
        <f>VLOOKUP(G12, CardValue!A:B, 2, FALSE)</f>
        <v>Syringe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ECE161-B77E-4584-9C3C-7CC8746D79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CardValue</vt:lpstr>
      <vt:lpstr>CardFunction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Vince Luong</cp:lastModifiedBy>
  <dcterms:created xsi:type="dcterms:W3CDTF">2015-06-05T18:17:20Z</dcterms:created>
  <dcterms:modified xsi:type="dcterms:W3CDTF">2026-04-28T05:23:13Z</dcterms:modified>
</cp:coreProperties>
</file>