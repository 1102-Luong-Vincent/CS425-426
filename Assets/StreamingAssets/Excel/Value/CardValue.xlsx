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NR Classes and Files\CS 425 - Software Engineering\Senior Projects - Game\CS425-426\Assets\StreamingAssets\Excel\Value\"/>
    </mc:Choice>
  </mc:AlternateContent>
  <xr:revisionPtr revIDLastSave="0" documentId="13_ncr:1_{739956DE-BC89-40EB-B22D-D12A4A5AC757}" xr6:coauthVersionLast="47" xr6:coauthVersionMax="47" xr10:uidLastSave="{00000000-0000-0000-0000-000000000000}"/>
  <bookViews>
    <workbookView xWindow="4305" yWindow="1035" windowWidth="21600" windowHeight="11295" xr2:uid="{00000000-000D-0000-FFFF-FFFF00000000}"/>
  </bookViews>
  <sheets>
    <sheet name="CardValue" sheetId="1" r:id="rId1"/>
    <sheet name="CardFunc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A36" i="1"/>
  <c r="A37" i="1"/>
  <c r="A38" i="1"/>
  <c r="A35" i="1"/>
  <c r="A34" i="1"/>
  <c r="A32" i="1"/>
  <c r="A31" i="1"/>
  <c r="A30" i="1"/>
  <c r="A29" i="1"/>
  <c r="A28" i="1"/>
  <c r="A33" i="1"/>
  <c r="A27" i="1"/>
  <c r="A26" i="1"/>
  <c r="A25" i="1"/>
  <c r="A24" i="1"/>
  <c r="A23" i="1"/>
  <c r="A22" i="1"/>
  <c r="A21" i="1"/>
  <c r="A46" i="1"/>
  <c r="A45" i="1"/>
  <c r="A44" i="1"/>
  <c r="A43" i="1"/>
  <c r="A42" i="1"/>
  <c r="A41" i="1"/>
  <c r="A40" i="1"/>
  <c r="A39" i="1"/>
  <c r="A4" i="1"/>
  <c r="A5" i="1"/>
  <c r="A6" i="1"/>
  <c r="A7" i="1"/>
  <c r="A9" i="1"/>
  <c r="A10" i="1"/>
  <c r="A11" i="1"/>
  <c r="A12" i="1"/>
  <c r="A13" i="1"/>
  <c r="A14" i="1"/>
  <c r="A15" i="1"/>
  <c r="A16" i="1"/>
  <c r="A17" i="1"/>
  <c r="A18" i="1"/>
  <c r="A19" i="1"/>
  <c r="A20" i="1"/>
  <c r="A3" i="1"/>
  <c r="A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BB4FF9-8BDF-459E-9FA9-ABAEEBF6F713}" keepAlive="1" name="Query - Untitled document (2)" description="Connection to the 'Untitled document (2)' query in the workbook." type="5" refreshedVersion="0" background="1">
    <dbPr connection="Provider=Microsoft.Mashup.OleDb.1;Data Source=$Workbook$;Location=&quot;Untitled document (2)&quot;;Extended Properties=&quot;&quot;" command="SELECT * FROM [Untitled document (2)]"/>
  </connection>
  <connection id="2" xr16:uid="{AE89433B-B08A-451F-8A32-CBE6ADBE2089}" keepAlive="1" name="Query - Untitled document (3)" description="Connection to the 'Untitled document (3)' query in the workbook." type="5" refreshedVersion="8" background="1" saveData="1">
    <dbPr connection="Provider=Microsoft.Mashup.OleDb.1;Data Source=$Workbook$;Location=&quot;Untitled document (3)&quot;;Extended Properties=&quot;&quot;" command="SELECT * FROM [Untitled document (3)]"/>
  </connection>
  <connection id="3" xr16:uid="{9F23D0C8-1228-48A3-969F-8626F1CD23D3}" keepAlive="1" name="Query - Untitled document (4)" description="Connection to the 'Untitled document (4)' query in the workbook." type="5" refreshedVersion="0" background="1">
    <dbPr connection="Provider=Microsoft.Mashup.OleDb.1;Data Source=$Workbook$;Location=&quot;Untitled document (4)&quot;;Extended Properties=&quot;&quot;" command="SELECT * FROM [Untitled document (4)]"/>
  </connection>
</connections>
</file>

<file path=xl/sharedStrings.xml><?xml version="1.0" encoding="utf-8"?>
<sst xmlns="http://schemas.openxmlformats.org/spreadsheetml/2006/main" count="232" uniqueCount="143">
  <si>
    <t>ID</t>
  </si>
  <si>
    <t>CardName</t>
  </si>
  <si>
    <t>CardDescribe</t>
  </si>
  <si>
    <t>Bandage</t>
  </si>
  <si>
    <t>None</t>
  </si>
  <si>
    <t>Rarity (0 = Common, 1 = Rare, 2 =VeryRare, 3 = Epic)</t>
  </si>
  <si>
    <t>SupportItems</t>
  </si>
  <si>
    <t xml:space="preserve">Card Type </t>
  </si>
  <si>
    <t xml:space="preserve"> heals player (15% - 25%) and stops bleeding</t>
  </si>
  <si>
    <t>Syringe</t>
  </si>
  <si>
    <t xml:space="preserve"> increases critical damage by (13% - 20%) for the player for 2 turns</t>
  </si>
  <si>
    <t>Medkit</t>
  </si>
  <si>
    <t xml:space="preserve"> heals a large amount of health (40% - 60%) and stops bleeding</t>
  </si>
  <si>
    <t>Revival Serum</t>
  </si>
  <si>
    <t xml:space="preserve"> Automatically revives the player if the player reaches 0 health (only once) (10% - 20%)</t>
  </si>
  <si>
    <t xml:space="preserve"> increases attack (20% - 25%)</t>
  </si>
  <si>
    <t xml:space="preserve"> increases attack (20% - 25%) but also decreases defense and health (10% - 15%)</t>
  </si>
  <si>
    <t xml:space="preserve"> increases defense and attack (20% - 25%)</t>
  </si>
  <si>
    <t xml:space="preserve"> increases player’s critical chance (15% - 25%) (allows the player to deal increased damage)</t>
  </si>
  <si>
    <t>Health Potion</t>
  </si>
  <si>
    <t xml:space="preserve"> restores 100% health</t>
  </si>
  <si>
    <t>Energy Potion</t>
  </si>
  <si>
    <t>Antidote Potion</t>
  </si>
  <si>
    <t xml:space="preserve"> cures poison (may not be implemented)</t>
  </si>
  <si>
    <t>Field Surgery Kit</t>
  </si>
  <si>
    <t xml:space="preserve"> heals (Bandage % + Medkit % + (rarity of card)) and stops bleeding</t>
  </si>
  <si>
    <t>Adrenal Medkit</t>
  </si>
  <si>
    <t xml:space="preserve"> Heals (Bandage % + (rarity of card)) stops bleeding and increases critical damage by (Adrenal Medkit %) for 2 turns</t>
  </si>
  <si>
    <t>Combat Patch</t>
  </si>
  <si>
    <t>Berserker Wrap</t>
  </si>
  <si>
    <t>Stimulant Wrap</t>
  </si>
  <si>
    <t>Liquid Courage Kit</t>
  </si>
  <si>
    <t>Rapid Recovery Injector</t>
  </si>
  <si>
    <t>Phoenix Shot</t>
  </si>
  <si>
    <t xml:space="preserve"> increases critical damage by (Syringe % + (rarity of card)) for 3 turns and revives player to (Revival Serum % + (rarity of card))</t>
  </si>
  <si>
    <t xml:space="preserve"> Increases critical damage by (Syringe % + (rarity of card)) and increases critical chance by (Beer % + (rarity of card)) for 2 turns</t>
  </si>
  <si>
    <t xml:space="preserve"> heals (Bandage % + (rarity of card)), stops bleeding and raises attack by (Pills % + (rarity of card)) for 1 turn</t>
  </si>
  <si>
    <t xml:space="preserve"> increases critical damage by (Syringe % + (rarity of card)) for 2 turns, heals (Medkit % + (rarity of card)) and stops bleeding</t>
  </si>
  <si>
    <t xml:space="preserve"> heals (Bandage % + (rarity of card)), stops bleeding, increases attack by (Rage Pill % + (rarity of card)) and lowers health and defense by (Rage Pills % + (rarity of card)) for 2 turns</t>
  </si>
  <si>
    <t xml:space="preserve"> heals (Bandage % + (rarity of card)), stops bleeding, increases defense and attack by (Drugs % + (rarity of card)) for 2 turns</t>
  </si>
  <si>
    <t xml:space="preserve"> heals (Bandage % + (rarity of card)), stops bleeding, and increases critical chance by (Beer % + (rarity of card)) for 2 turns</t>
  </si>
  <si>
    <t>Heal(percent=0.20); StopBleeding();</t>
  </si>
  <si>
    <t>IncreaseCritDamage(percent=0.17; turns=2);</t>
  </si>
  <si>
    <t>Heal(percent=0.50); StopBleeding();</t>
  </si>
  <si>
    <t>Revive(percent=0.15);</t>
  </si>
  <si>
    <t>IncreaseAttack(percent=0.23);</t>
  </si>
  <si>
    <t>IncreaseAttack(percent=0.23); IncreaseDefense(percent=-0.12); Heal(percent=-0.12);</t>
  </si>
  <si>
    <t>IncreaseAttack(percent=0.23); IncreaseDefense(percent=0.23);</t>
  </si>
  <si>
    <t>IncreaseCritChance(percent=0.20);</t>
  </si>
  <si>
    <t>Heal(percent=1.0);</t>
  </si>
  <si>
    <t>CurePoison();</t>
  </si>
  <si>
    <t>Heal(percent=0.70); StopBleeding();</t>
  </si>
  <si>
    <t>Heal(percent=0.25); StopBleeding(); IncreaseCritDamage(percent=0.20; turns=2);</t>
  </si>
  <si>
    <t>Heal(percent=0.25); StopBleeding(); IncreaseAttack(percent=0.23; turns=1);</t>
  </si>
  <si>
    <t>Heal(percent=0.25); StopBleeding(); IncreaseAttack(percent=0.23; turns=2); IncreaseDefense(percent=0.23; turns=2);</t>
  </si>
  <si>
    <t>Heal(percent=0.25); StopBleeding(); IncreaseCritChance(percent=0.20; turns=2);</t>
  </si>
  <si>
    <t>IncreaseCritDamage(percent=0.17; turns=2); Heal(percent=0.50); StopBleeding();</t>
  </si>
  <si>
    <t>IncreaseCritDamage(percent=0.17; turns=3); Revive(percent=0.15);</t>
  </si>
  <si>
    <t>IncreaseCritDamage(percent=0.17; turns=2); IncreaseCritChance(percent=0.20; turns=2);</t>
  </si>
  <si>
    <t>RestoreEnergy(1);</t>
  </si>
  <si>
    <t xml:space="preserve"> restores 1 energy</t>
  </si>
  <si>
    <t>Card Effect</t>
  </si>
  <si>
    <t>Pounce</t>
  </si>
  <si>
    <t>Claw</t>
  </si>
  <si>
    <t>Grab</t>
  </si>
  <si>
    <t>Kick</t>
  </si>
  <si>
    <t>A sluggish but sudden kick that can push the player back. Deals 10 damage.</t>
  </si>
  <si>
    <t>Lunges forward, grabs the player, deals 6 damage and stuns the player for 1 turn (player unable to act)</t>
  </si>
  <si>
    <t>Leaps forward to tackle the player, bites for 12 damage and inflicts knockdown for 1 turn (player unable to act)</t>
  </si>
  <si>
    <t>A quick swipe with its paws that deals 7 damage and inflicts bleed for 2 turns. (player suffers 3 damage from bleed each turn)</t>
  </si>
  <si>
    <t>Bite</t>
  </si>
  <si>
    <t>Scurry</t>
  </si>
  <si>
    <t>Brielfy darts around to reposition, increases chance to evade attacks by 25% for 1 turn.</t>
  </si>
  <si>
    <t>Lunges and bites at the player, dealing 5 damage.</t>
  </si>
  <si>
    <t>Leech Bite</t>
  </si>
  <si>
    <t>Evade Lunge</t>
  </si>
  <si>
    <t>Bites the player for 12 damage and heals 25% of that damage dealt.</t>
  </si>
  <si>
    <t>Becomes alert and sidesteps. Evades 100% the next incoming hit.</t>
  </si>
  <si>
    <t>Overdrive Dose</t>
  </si>
  <si>
    <t>Combat Stimulant</t>
  </si>
  <si>
    <t>Balanced Formula</t>
  </si>
  <si>
    <t>Rebirth Capsule</t>
  </si>
  <si>
    <t>Titan Formula</t>
  </si>
  <si>
    <t>Battle Brew</t>
  </si>
  <si>
    <t>Adrenal Surge</t>
  </si>
  <si>
    <t>Berserker Serum</t>
  </si>
  <si>
    <t>Fury Rebirth</t>
  </si>
  <si>
    <t>Aggression Compound</t>
  </si>
  <si>
    <t>Adrenal Mix</t>
  </si>
  <si>
    <t>Reflex Booster</t>
  </si>
  <si>
    <t>Bio-Regen Formula</t>
  </si>
  <si>
    <t>Nerve Enhancer</t>
  </si>
  <si>
    <t>Survivor's Brew</t>
  </si>
  <si>
    <t>Soul Brew</t>
  </si>
  <si>
    <t>increases critical chance by (Beer % + (rarity of card)) for 3 turns and revives player to (Revival Serum % + (rarity of card))</t>
  </si>
  <si>
    <t>increases critical chance by (Beer % + (rarity of card)) for 2 turns, heals (Medkit %  + (rarity of card)) and stops bleeding</t>
  </si>
  <si>
    <t>increases defense and attack by (Drugs %  + (rarity of card)) and increases critical chance by (Beer % + (rarity of card)) for 2 turns</t>
  </si>
  <si>
    <t>increases defense and attack by (Drugs % + (rarity of card)) for 3 turns and revives player to (Revival Serum % + (rarity of card))</t>
  </si>
  <si>
    <t>increases defense and attack by (Drugs % + (rarity of card)) and increases critical damage by (Syringe % + (rarity of card)) for 2 turns</t>
  </si>
  <si>
    <t xml:space="preserve">increases defense and attack by (Drugs % + (rarity of card)) for 2 turns, heals (Medkit % + (rarity of card)) and stops bleeding </t>
  </si>
  <si>
    <t>increases attack, decreases defense and health by (Rage Pill %), and increases critical chance by (Beer %) for 2 turns</t>
  </si>
  <si>
    <t>increases attack by (Rage Pill % + (rarity of card)) and decreases defense and health by (Rage Pill % + Drugs % + (rarity of card)) for 2 turns</t>
  </si>
  <si>
    <t>increases attack, decreases defense and health by (Rage Pill % + (rarity of card)) for 3 turns and revives player to (Revival Serum % + (rarity of card))</t>
  </si>
  <si>
    <t>heals (Medkit % + (rarity of card)), stops bleeding increases attack, decreases defense and health by (Rage Pill % + (rarity of card)) for 1 turns</t>
  </si>
  <si>
    <t>increases attack, lowers defense and health by (Rage Pill % + (rarity of card)) and increases critical damage by (Syringe % + (rarity of card)) for 2 turns</t>
  </si>
  <si>
    <t xml:space="preserve">increases attack by (Pills % + (rarity of card)) and critical chance by (Beer %  + (rarity of card)) for 2 turns </t>
  </si>
  <si>
    <t>increases attack by (Pills % + (rarity of card)), defense and attack by (Drugs % + (rarity of card)) for 2 turns</t>
  </si>
  <si>
    <t>increases attack by (Pills % + (rarity of card)) for 3 turns and revives player to (Revival Serum % + (rarity of card))</t>
  </si>
  <si>
    <t>increases attack by (Pills % + (rarity of card)) and heals (Medkit %  + (rarity of card)) for 2 turns</t>
  </si>
  <si>
    <t>increases attack by (Pills % + (rarity of card)) and critical damage by (Syringe % + (rarity of card)) for 2 turns</t>
  </si>
  <si>
    <t>increases attack by (Pills and Rage Pill % + (rarity of card)), lowers defense and health by (Rage Pill % + (rarity of card)) for 2 turns</t>
  </si>
  <si>
    <t>IncreaseAttack(percent=0.17; turns = 2); LowerDefense(percent=0.15; turns = 2); LowerHealth(percent = 0.1; turns = 2);</t>
  </si>
  <si>
    <t>IncreaseAttack(percent=0.17; turns = 2); IncreaseCritChance(percent = 0.15; turns = 2);</t>
  </si>
  <si>
    <t>IncreaseAttack(percent=0.20; turns = 2); IncreaseDefense(percent = 0.15; turns = 2);</t>
  </si>
  <si>
    <t>Heal(percent=0.17; turns = 2); StopBleeding(); LowerDefense(percent=0.15; turns = 2); LowerHealth(percent = 0.1; turns = 2)</t>
  </si>
  <si>
    <t>IncreaseAttack(percent=0.17; turns = 2);IncreaseCritDamage(percent = 0.2; turns = 2)</t>
  </si>
  <si>
    <t>IncreaseCriticalChance(percent=0.17; turns = 2); Heal(percent = 0.25); StopBleeding();</t>
  </si>
  <si>
    <t>IncreaseDefense(percent=0.17; turns = 3); IncreaseAttack(percent=0.15; turns = 3); Revive(percent = 0.3);</t>
  </si>
  <si>
    <t>IncreaseAttack(percent=0.17; turns = 2); LowerDefense(percent=0.15;  turns = 2); LowerHealth(percent = 0.1; turns = 2);</t>
  </si>
  <si>
    <t>IncreaseAttack(percent=0.17; turns = 2); LowerDefense(percent=0.15; turns = 2); LowerHealth(percent = 0.1; turns = 2); Revive(percent=0.2)</t>
  </si>
  <si>
    <t>IncreaseAttack(percent=0.17; turns = 2); DecreaseDefense(percent=0.15; turns = 2); LowerHealth(percent = 0.2; turns = 2); IncreaseCritChance(percent=0.2; turns  = 2);</t>
  </si>
  <si>
    <t>IncreaseAttack(percent=0.17; turns = 2); LowerDefense(percent=0.15; turns = 2); LowerHealth(percent = 0.1; turns = 2); IncreaseCritDamage(percent=0.15; turns = 2);</t>
  </si>
  <si>
    <t>Heal(percent=0.25); StopBleeding(); IncreaseAttack(percent=0.25; turns=2); IncreaseDefense(percent=0.15; turns=2); Heal(percent=-0.10);</t>
  </si>
  <si>
    <t>IncreaseDefense(percent=0.17; turns = 2); IncreaseAttack(percent=0.15; turns = 2); IncreaseCritChance(percent = 0.15; turns = 3);</t>
  </si>
  <si>
    <t>IncreaseAttack(percent=0.17; turns = 2); Heal(percent = 0.25);</t>
  </si>
  <si>
    <t>IncreaseAttack(percent=0.17; turns = 2); Revive(percent = 0.2)</t>
  </si>
  <si>
    <t>IncreaseCriticalChance(percent=0.17; turns = 3); Revive(percent = 0.3);</t>
  </si>
  <si>
    <t>IncreaseAttack(percent=0.17; turns = 2); IncreaseDefense(percent=0.17; turns = 2); IncreaseCritDamage(percent=0.15; turns = 2);</t>
  </si>
  <si>
    <t>IncreaseAttack(percent=0.17; turns = 2); IncreaseDefense(percent=0.17; turns = 2); StopBleeding(); Heal(percent = 0.3);</t>
  </si>
  <si>
    <t>Function ID</t>
  </si>
  <si>
    <t>Card 1 ID</t>
  </si>
  <si>
    <t>Card 1 Name(Not involved in script)</t>
  </si>
  <si>
    <t>Card 2 ID</t>
  </si>
  <si>
    <t>Card 2 Name(Not involved in script)</t>
  </si>
  <si>
    <t>Fail Chance</t>
  </si>
  <si>
    <t>Result ID</t>
  </si>
  <si>
    <t>Result Card Name(Not involved in script)</t>
  </si>
  <si>
    <t>Stamina Capsule</t>
  </si>
  <si>
    <t>Reflex Tonic</t>
  </si>
  <si>
    <t>Battle Frenzy</t>
  </si>
  <si>
    <t>Fury Catalyst</t>
  </si>
  <si>
    <t>Emergency Capsule</t>
  </si>
  <si>
    <t>Enhanced 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</si>
</sst>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topLeftCell="A28" workbookViewId="0">
      <selection activeCell="E38" sqref="E38"/>
    </sheetView>
  </sheetViews>
  <sheetFormatPr defaultRowHeight="15" x14ac:dyDescent="0.25"/>
  <cols>
    <col min="2" max="3" width="19.7109375" customWidth="1"/>
    <col min="4" max="4" width="24.85546875" customWidth="1"/>
    <col min="5" max="5" width="11.28515625" customWidth="1"/>
    <col min="6" max="6" width="101.7109375" customWidth="1"/>
    <col min="7" max="7" width="121.42578125" customWidth="1"/>
  </cols>
  <sheetData>
    <row r="1" spans="1:7" x14ac:dyDescent="0.25">
      <c r="A1" t="s">
        <v>0</v>
      </c>
      <c r="B1" t="s">
        <v>1</v>
      </c>
      <c r="C1" t="s">
        <v>7</v>
      </c>
      <c r="D1" t="s">
        <v>5</v>
      </c>
      <c r="E1" t="s">
        <v>4</v>
      </c>
      <c r="F1" t="s">
        <v>2</v>
      </c>
      <c r="G1" t="s">
        <v>61</v>
      </c>
    </row>
    <row r="2" spans="1:7" x14ac:dyDescent="0.25">
      <c r="A2">
        <f>ROW()-2</f>
        <v>0</v>
      </c>
      <c r="B2" t="s">
        <v>3</v>
      </c>
      <c r="C2" t="s">
        <v>6</v>
      </c>
      <c r="D2">
        <v>0</v>
      </c>
      <c r="E2" t="s">
        <v>4</v>
      </c>
      <c r="F2" t="s">
        <v>8</v>
      </c>
      <c r="G2" t="s">
        <v>41</v>
      </c>
    </row>
    <row r="3" spans="1:7" x14ac:dyDescent="0.25">
      <c r="A3">
        <f t="shared" ref="A3:A21" si="0">ROW()-2</f>
        <v>1</v>
      </c>
      <c r="B3" t="s">
        <v>9</v>
      </c>
      <c r="C3" t="s">
        <v>6</v>
      </c>
      <c r="D3">
        <v>0</v>
      </c>
      <c r="E3" t="s">
        <v>4</v>
      </c>
      <c r="F3" t="s">
        <v>10</v>
      </c>
      <c r="G3" t="s">
        <v>42</v>
      </c>
    </row>
    <row r="4" spans="1:7" x14ac:dyDescent="0.25">
      <c r="A4">
        <f t="shared" si="0"/>
        <v>2</v>
      </c>
      <c r="B4" t="s">
        <v>11</v>
      </c>
      <c r="C4" t="s">
        <v>6</v>
      </c>
      <c r="D4">
        <v>0</v>
      </c>
      <c r="E4" t="s">
        <v>4</v>
      </c>
      <c r="F4" t="s">
        <v>12</v>
      </c>
      <c r="G4" t="s">
        <v>43</v>
      </c>
    </row>
    <row r="5" spans="1:7" x14ac:dyDescent="0.25">
      <c r="A5">
        <f t="shared" si="0"/>
        <v>3</v>
      </c>
      <c r="B5" t="s">
        <v>13</v>
      </c>
      <c r="C5" t="s">
        <v>6</v>
      </c>
      <c r="D5">
        <v>0</v>
      </c>
      <c r="E5" t="s">
        <v>4</v>
      </c>
      <c r="F5" t="s">
        <v>14</v>
      </c>
      <c r="G5" t="s">
        <v>44</v>
      </c>
    </row>
    <row r="6" spans="1:7" x14ac:dyDescent="0.25">
      <c r="A6">
        <f t="shared" si="0"/>
        <v>4</v>
      </c>
      <c r="B6" t="s">
        <v>141</v>
      </c>
      <c r="C6" t="s">
        <v>6</v>
      </c>
      <c r="D6">
        <v>0</v>
      </c>
      <c r="E6" t="s">
        <v>4</v>
      </c>
      <c r="F6" t="s">
        <v>15</v>
      </c>
      <c r="G6" t="s">
        <v>45</v>
      </c>
    </row>
    <row r="7" spans="1:7" x14ac:dyDescent="0.25">
      <c r="A7">
        <f t="shared" si="0"/>
        <v>5</v>
      </c>
      <c r="B7" t="s">
        <v>140</v>
      </c>
      <c r="C7" t="s">
        <v>6</v>
      </c>
      <c r="D7">
        <v>0</v>
      </c>
      <c r="E7" t="s">
        <v>4</v>
      </c>
      <c r="F7" t="s">
        <v>16</v>
      </c>
      <c r="G7" t="s">
        <v>46</v>
      </c>
    </row>
    <row r="8" spans="1:7" x14ac:dyDescent="0.25">
      <c r="A8">
        <f>ROW()-2</f>
        <v>6</v>
      </c>
      <c r="B8" t="s">
        <v>137</v>
      </c>
      <c r="C8" t="s">
        <v>6</v>
      </c>
      <c r="D8">
        <v>0</v>
      </c>
      <c r="E8" t="s">
        <v>4</v>
      </c>
      <c r="F8" t="s">
        <v>17</v>
      </c>
      <c r="G8" t="s">
        <v>47</v>
      </c>
    </row>
    <row r="9" spans="1:7" x14ac:dyDescent="0.25">
      <c r="A9">
        <f t="shared" si="0"/>
        <v>7</v>
      </c>
      <c r="B9" t="s">
        <v>138</v>
      </c>
      <c r="C9" t="s">
        <v>6</v>
      </c>
      <c r="D9">
        <v>0</v>
      </c>
      <c r="E9" t="s">
        <v>4</v>
      </c>
      <c r="F9" t="s">
        <v>18</v>
      </c>
      <c r="G9" t="s">
        <v>48</v>
      </c>
    </row>
    <row r="10" spans="1:7" x14ac:dyDescent="0.25">
      <c r="A10">
        <f t="shared" si="0"/>
        <v>8</v>
      </c>
      <c r="B10" t="s">
        <v>19</v>
      </c>
      <c r="C10" t="s">
        <v>6</v>
      </c>
      <c r="D10">
        <v>0</v>
      </c>
      <c r="E10" t="s">
        <v>4</v>
      </c>
      <c r="F10" t="s">
        <v>20</v>
      </c>
      <c r="G10" t="s">
        <v>49</v>
      </c>
    </row>
    <row r="11" spans="1:7" x14ac:dyDescent="0.25">
      <c r="A11">
        <f t="shared" si="0"/>
        <v>9</v>
      </c>
      <c r="B11" t="s">
        <v>21</v>
      </c>
      <c r="C11" t="s">
        <v>6</v>
      </c>
      <c r="D11">
        <v>0</v>
      </c>
      <c r="E11" t="s">
        <v>4</v>
      </c>
      <c r="F11" t="s">
        <v>60</v>
      </c>
      <c r="G11" t="s">
        <v>59</v>
      </c>
    </row>
    <row r="12" spans="1:7" x14ac:dyDescent="0.25">
      <c r="A12">
        <f t="shared" si="0"/>
        <v>10</v>
      </c>
      <c r="B12" t="s">
        <v>22</v>
      </c>
      <c r="C12" t="s">
        <v>6</v>
      </c>
      <c r="D12">
        <v>0</v>
      </c>
      <c r="E12" t="s">
        <v>4</v>
      </c>
      <c r="F12" t="s">
        <v>23</v>
      </c>
      <c r="G12" t="s">
        <v>50</v>
      </c>
    </row>
    <row r="13" spans="1:7" x14ac:dyDescent="0.25">
      <c r="A13">
        <f t="shared" si="0"/>
        <v>11</v>
      </c>
      <c r="B13" t="s">
        <v>24</v>
      </c>
      <c r="C13" t="s">
        <v>6</v>
      </c>
      <c r="D13">
        <v>0</v>
      </c>
      <c r="E13" t="s">
        <v>4</v>
      </c>
      <c r="F13" t="s">
        <v>25</v>
      </c>
      <c r="G13" t="s">
        <v>51</v>
      </c>
    </row>
    <row r="14" spans="1:7" x14ac:dyDescent="0.25">
      <c r="A14">
        <f t="shared" si="0"/>
        <v>12</v>
      </c>
      <c r="B14" t="s">
        <v>26</v>
      </c>
      <c r="C14" t="s">
        <v>6</v>
      </c>
      <c r="D14">
        <v>0</v>
      </c>
      <c r="E14" t="s">
        <v>4</v>
      </c>
      <c r="F14" t="s">
        <v>27</v>
      </c>
      <c r="G14" t="s">
        <v>52</v>
      </c>
    </row>
    <row r="15" spans="1:7" x14ac:dyDescent="0.25">
      <c r="A15">
        <f t="shared" si="0"/>
        <v>13</v>
      </c>
      <c r="B15" t="s">
        <v>28</v>
      </c>
      <c r="C15" t="s">
        <v>6</v>
      </c>
      <c r="D15">
        <v>0</v>
      </c>
      <c r="E15" t="s">
        <v>4</v>
      </c>
      <c r="F15" t="s">
        <v>36</v>
      </c>
      <c r="G15" t="s">
        <v>53</v>
      </c>
    </row>
    <row r="16" spans="1:7" x14ac:dyDescent="0.25">
      <c r="A16">
        <f t="shared" si="0"/>
        <v>14</v>
      </c>
      <c r="B16" t="s">
        <v>29</v>
      </c>
      <c r="C16" t="s">
        <v>6</v>
      </c>
      <c r="D16">
        <v>0</v>
      </c>
      <c r="E16" t="s">
        <v>4</v>
      </c>
      <c r="F16" t="s">
        <v>38</v>
      </c>
      <c r="G16" t="s">
        <v>122</v>
      </c>
    </row>
    <row r="17" spans="1:7" x14ac:dyDescent="0.25">
      <c r="A17">
        <f t="shared" si="0"/>
        <v>15</v>
      </c>
      <c r="B17" t="s">
        <v>30</v>
      </c>
      <c r="C17" t="s">
        <v>6</v>
      </c>
      <c r="D17">
        <v>0</v>
      </c>
      <c r="E17" t="s">
        <v>4</v>
      </c>
      <c r="F17" t="s">
        <v>39</v>
      </c>
      <c r="G17" t="s">
        <v>54</v>
      </c>
    </row>
    <row r="18" spans="1:7" x14ac:dyDescent="0.25">
      <c r="A18">
        <f t="shared" si="0"/>
        <v>16</v>
      </c>
      <c r="B18" t="s">
        <v>31</v>
      </c>
      <c r="C18" t="s">
        <v>6</v>
      </c>
      <c r="D18">
        <v>0</v>
      </c>
      <c r="E18" t="s">
        <v>4</v>
      </c>
      <c r="F18" t="s">
        <v>40</v>
      </c>
      <c r="G18" t="s">
        <v>55</v>
      </c>
    </row>
    <row r="19" spans="1:7" x14ac:dyDescent="0.25">
      <c r="A19">
        <f t="shared" si="0"/>
        <v>17</v>
      </c>
      <c r="B19" t="s">
        <v>32</v>
      </c>
      <c r="C19" t="s">
        <v>6</v>
      </c>
      <c r="D19">
        <v>0</v>
      </c>
      <c r="E19" t="s">
        <v>4</v>
      </c>
      <c r="F19" t="s">
        <v>37</v>
      </c>
      <c r="G19" t="s">
        <v>56</v>
      </c>
    </row>
    <row r="20" spans="1:7" x14ac:dyDescent="0.25">
      <c r="A20">
        <f t="shared" si="0"/>
        <v>18</v>
      </c>
      <c r="B20" t="s">
        <v>33</v>
      </c>
      <c r="C20" t="s">
        <v>6</v>
      </c>
      <c r="D20">
        <v>0</v>
      </c>
      <c r="E20" t="s">
        <v>4</v>
      </c>
      <c r="F20" t="s">
        <v>34</v>
      </c>
      <c r="G20" t="s">
        <v>57</v>
      </c>
    </row>
    <row r="21" spans="1:7" x14ac:dyDescent="0.25">
      <c r="A21">
        <f t="shared" si="0"/>
        <v>19</v>
      </c>
      <c r="B21" t="s">
        <v>142</v>
      </c>
      <c r="C21" t="s">
        <v>6</v>
      </c>
      <c r="D21">
        <v>0</v>
      </c>
      <c r="E21" t="s">
        <v>4</v>
      </c>
      <c r="F21" t="s">
        <v>35</v>
      </c>
      <c r="G21" t="s">
        <v>58</v>
      </c>
    </row>
    <row r="22" spans="1:7" x14ac:dyDescent="0.25">
      <c r="A22">
        <f t="shared" ref="A22:A38" si="1">ROW()-2</f>
        <v>20</v>
      </c>
      <c r="B22" t="s">
        <v>78</v>
      </c>
      <c r="C22" t="s">
        <v>6</v>
      </c>
      <c r="D22">
        <v>0</v>
      </c>
      <c r="E22" t="s">
        <v>4</v>
      </c>
      <c r="F22" t="s">
        <v>110</v>
      </c>
      <c r="G22" t="s">
        <v>111</v>
      </c>
    </row>
    <row r="23" spans="1:7" x14ac:dyDescent="0.25">
      <c r="A23">
        <f t="shared" si="1"/>
        <v>21</v>
      </c>
      <c r="B23" t="s">
        <v>79</v>
      </c>
      <c r="C23" t="s">
        <v>6</v>
      </c>
      <c r="D23">
        <v>0</v>
      </c>
      <c r="E23" t="s">
        <v>4</v>
      </c>
      <c r="F23" t="s">
        <v>109</v>
      </c>
      <c r="G23" t="s">
        <v>115</v>
      </c>
    </row>
    <row r="24" spans="1:7" x14ac:dyDescent="0.25">
      <c r="A24">
        <f t="shared" si="1"/>
        <v>22</v>
      </c>
      <c r="B24" t="s">
        <v>80</v>
      </c>
      <c r="C24" t="s">
        <v>6</v>
      </c>
      <c r="D24">
        <v>0</v>
      </c>
      <c r="E24" t="s">
        <v>4</v>
      </c>
      <c r="F24" t="s">
        <v>108</v>
      </c>
      <c r="G24" t="s">
        <v>124</v>
      </c>
    </row>
    <row r="25" spans="1:7" x14ac:dyDescent="0.25">
      <c r="A25">
        <f t="shared" si="1"/>
        <v>23</v>
      </c>
      <c r="B25" t="s">
        <v>81</v>
      </c>
      <c r="C25" t="s">
        <v>6</v>
      </c>
      <c r="D25">
        <v>0</v>
      </c>
      <c r="E25" t="s">
        <v>4</v>
      </c>
      <c r="F25" t="s">
        <v>107</v>
      </c>
      <c r="G25" t="s">
        <v>125</v>
      </c>
    </row>
    <row r="26" spans="1:7" x14ac:dyDescent="0.25">
      <c r="A26">
        <f t="shared" si="1"/>
        <v>24</v>
      </c>
      <c r="B26" t="s">
        <v>82</v>
      </c>
      <c r="C26" t="s">
        <v>6</v>
      </c>
      <c r="D26">
        <v>0</v>
      </c>
      <c r="E26" t="s">
        <v>4</v>
      </c>
      <c r="F26" t="s">
        <v>106</v>
      </c>
      <c r="G26" t="s">
        <v>113</v>
      </c>
    </row>
    <row r="27" spans="1:7" x14ac:dyDescent="0.25">
      <c r="A27">
        <f t="shared" si="1"/>
        <v>25</v>
      </c>
      <c r="B27" t="s">
        <v>83</v>
      </c>
      <c r="C27" t="s">
        <v>6</v>
      </c>
      <c r="D27">
        <v>0</v>
      </c>
      <c r="E27" t="s">
        <v>4</v>
      </c>
      <c r="F27" t="s">
        <v>105</v>
      </c>
      <c r="G27" t="s">
        <v>112</v>
      </c>
    </row>
    <row r="28" spans="1:7" x14ac:dyDescent="0.25">
      <c r="A28">
        <f t="shared" si="1"/>
        <v>26</v>
      </c>
      <c r="B28" t="s">
        <v>84</v>
      </c>
      <c r="C28" t="s">
        <v>6</v>
      </c>
      <c r="D28">
        <v>0</v>
      </c>
      <c r="E28" t="s">
        <v>4</v>
      </c>
      <c r="F28" t="s">
        <v>104</v>
      </c>
      <c r="G28" t="s">
        <v>121</v>
      </c>
    </row>
    <row r="29" spans="1:7" x14ac:dyDescent="0.25">
      <c r="A29">
        <f t="shared" si="1"/>
        <v>27</v>
      </c>
      <c r="B29" t="s">
        <v>85</v>
      </c>
      <c r="C29" t="s">
        <v>6</v>
      </c>
      <c r="D29">
        <v>0</v>
      </c>
      <c r="E29" t="s">
        <v>4</v>
      </c>
      <c r="F29" t="s">
        <v>103</v>
      </c>
      <c r="G29" t="s">
        <v>114</v>
      </c>
    </row>
    <row r="30" spans="1:7" x14ac:dyDescent="0.25">
      <c r="A30">
        <f t="shared" si="1"/>
        <v>28</v>
      </c>
      <c r="B30" t="s">
        <v>86</v>
      </c>
      <c r="C30" t="s">
        <v>6</v>
      </c>
      <c r="D30">
        <v>0</v>
      </c>
      <c r="E30" t="s">
        <v>4</v>
      </c>
      <c r="F30" t="s">
        <v>102</v>
      </c>
      <c r="G30" t="s">
        <v>119</v>
      </c>
    </row>
    <row r="31" spans="1:7" x14ac:dyDescent="0.25">
      <c r="A31">
        <f t="shared" si="1"/>
        <v>29</v>
      </c>
      <c r="B31" t="s">
        <v>87</v>
      </c>
      <c r="C31" t="s">
        <v>6</v>
      </c>
      <c r="D31">
        <v>0</v>
      </c>
      <c r="E31" t="s">
        <v>4</v>
      </c>
      <c r="F31" t="s">
        <v>101</v>
      </c>
      <c r="G31" t="s">
        <v>118</v>
      </c>
    </row>
    <row r="32" spans="1:7" x14ac:dyDescent="0.25">
      <c r="A32">
        <f t="shared" si="1"/>
        <v>30</v>
      </c>
      <c r="B32" t="s">
        <v>139</v>
      </c>
      <c r="C32" t="s">
        <v>6</v>
      </c>
      <c r="D32">
        <v>0</v>
      </c>
      <c r="E32" t="s">
        <v>4</v>
      </c>
      <c r="F32" t="s">
        <v>100</v>
      </c>
      <c r="G32" t="s">
        <v>120</v>
      </c>
    </row>
    <row r="33" spans="1:7" x14ac:dyDescent="0.25">
      <c r="A33">
        <f t="shared" si="1"/>
        <v>31</v>
      </c>
      <c r="B33" t="s">
        <v>88</v>
      </c>
      <c r="C33" t="s">
        <v>6</v>
      </c>
      <c r="D33">
        <v>0</v>
      </c>
      <c r="E33" t="s">
        <v>4</v>
      </c>
      <c r="F33" t="s">
        <v>99</v>
      </c>
      <c r="G33" t="s">
        <v>128</v>
      </c>
    </row>
    <row r="34" spans="1:7" x14ac:dyDescent="0.25">
      <c r="A34">
        <f t="shared" si="1"/>
        <v>32</v>
      </c>
      <c r="B34" t="s">
        <v>89</v>
      </c>
      <c r="C34" t="s">
        <v>6</v>
      </c>
      <c r="D34">
        <v>0</v>
      </c>
      <c r="E34" t="s">
        <v>4</v>
      </c>
      <c r="F34" t="s">
        <v>98</v>
      </c>
      <c r="G34" t="s">
        <v>127</v>
      </c>
    </row>
    <row r="35" spans="1:7" x14ac:dyDescent="0.25">
      <c r="A35">
        <f t="shared" si="1"/>
        <v>33</v>
      </c>
      <c r="B35" t="s">
        <v>90</v>
      </c>
      <c r="C35" t="s">
        <v>6</v>
      </c>
      <c r="D35">
        <v>0</v>
      </c>
      <c r="E35" t="s">
        <v>4</v>
      </c>
      <c r="F35" t="s">
        <v>97</v>
      </c>
      <c r="G35" t="s">
        <v>117</v>
      </c>
    </row>
    <row r="36" spans="1:7" x14ac:dyDescent="0.25">
      <c r="A36">
        <f t="shared" si="1"/>
        <v>34</v>
      </c>
      <c r="B36" t="s">
        <v>91</v>
      </c>
      <c r="C36" t="s">
        <v>6</v>
      </c>
      <c r="D36">
        <v>0</v>
      </c>
      <c r="E36" t="s">
        <v>4</v>
      </c>
      <c r="F36" t="s">
        <v>96</v>
      </c>
      <c r="G36" t="s">
        <v>123</v>
      </c>
    </row>
    <row r="37" spans="1:7" x14ac:dyDescent="0.25">
      <c r="A37">
        <f t="shared" si="1"/>
        <v>35</v>
      </c>
      <c r="B37" t="s">
        <v>92</v>
      </c>
      <c r="C37" t="s">
        <v>6</v>
      </c>
      <c r="D37">
        <v>0</v>
      </c>
      <c r="E37" t="s">
        <v>4</v>
      </c>
      <c r="F37" t="s">
        <v>95</v>
      </c>
      <c r="G37" t="s">
        <v>116</v>
      </c>
    </row>
    <row r="38" spans="1:7" x14ac:dyDescent="0.25">
      <c r="A38">
        <f t="shared" si="1"/>
        <v>36</v>
      </c>
      <c r="B38" t="s">
        <v>93</v>
      </c>
      <c r="C38" t="s">
        <v>6</v>
      </c>
      <c r="D38">
        <v>0</v>
      </c>
      <c r="E38" t="s">
        <v>4</v>
      </c>
      <c r="F38" t="s">
        <v>94</v>
      </c>
      <c r="G38" t="s">
        <v>126</v>
      </c>
    </row>
    <row r="39" spans="1:7" x14ac:dyDescent="0.25">
      <c r="A39">
        <f t="shared" ref="A39:A45" si="2">ROW()-2</f>
        <v>37</v>
      </c>
      <c r="B39" t="s">
        <v>65</v>
      </c>
      <c r="C39" t="s">
        <v>6</v>
      </c>
      <c r="D39">
        <v>0</v>
      </c>
      <c r="E39" t="s">
        <v>4</v>
      </c>
      <c r="F39" t="s">
        <v>66</v>
      </c>
    </row>
    <row r="40" spans="1:7" x14ac:dyDescent="0.25">
      <c r="A40">
        <f t="shared" si="2"/>
        <v>38</v>
      </c>
      <c r="B40" t="s">
        <v>64</v>
      </c>
      <c r="C40" t="s">
        <v>6</v>
      </c>
      <c r="D40">
        <v>0</v>
      </c>
      <c r="E40" t="s">
        <v>4</v>
      </c>
      <c r="F40" t="s">
        <v>67</v>
      </c>
    </row>
    <row r="41" spans="1:7" x14ac:dyDescent="0.25">
      <c r="A41">
        <f t="shared" si="2"/>
        <v>39</v>
      </c>
      <c r="B41" t="s">
        <v>63</v>
      </c>
      <c r="C41" t="s">
        <v>6</v>
      </c>
      <c r="D41">
        <v>0</v>
      </c>
      <c r="E41" t="s">
        <v>4</v>
      </c>
      <c r="F41" t="s">
        <v>69</v>
      </c>
    </row>
    <row r="42" spans="1:7" x14ac:dyDescent="0.25">
      <c r="A42">
        <f t="shared" si="2"/>
        <v>40</v>
      </c>
      <c r="B42" t="s">
        <v>62</v>
      </c>
      <c r="C42" t="s">
        <v>6</v>
      </c>
      <c r="D42">
        <v>0</v>
      </c>
      <c r="E42" t="s">
        <v>4</v>
      </c>
      <c r="F42" t="s">
        <v>68</v>
      </c>
    </row>
    <row r="43" spans="1:7" x14ac:dyDescent="0.25">
      <c r="A43">
        <f t="shared" si="2"/>
        <v>41</v>
      </c>
      <c r="B43" t="s">
        <v>70</v>
      </c>
      <c r="C43" t="s">
        <v>6</v>
      </c>
      <c r="D43">
        <v>0</v>
      </c>
      <c r="E43" t="s">
        <v>4</v>
      </c>
      <c r="F43" t="s">
        <v>73</v>
      </c>
    </row>
    <row r="44" spans="1:7" x14ac:dyDescent="0.25">
      <c r="A44">
        <f t="shared" si="2"/>
        <v>42</v>
      </c>
      <c r="B44" t="s">
        <v>71</v>
      </c>
      <c r="C44" t="s">
        <v>6</v>
      </c>
      <c r="D44">
        <v>0</v>
      </c>
      <c r="E44" t="s">
        <v>4</v>
      </c>
      <c r="F44" t="s">
        <v>72</v>
      </c>
    </row>
    <row r="45" spans="1:7" x14ac:dyDescent="0.25">
      <c r="A45">
        <f t="shared" si="2"/>
        <v>43</v>
      </c>
      <c r="B45" t="s">
        <v>74</v>
      </c>
      <c r="C45" t="s">
        <v>6</v>
      </c>
      <c r="D45">
        <v>0</v>
      </c>
      <c r="E45" t="s">
        <v>4</v>
      </c>
      <c r="F45" t="s">
        <v>76</v>
      </c>
    </row>
    <row r="46" spans="1:7" x14ac:dyDescent="0.25">
      <c r="A46">
        <f>ROW()-2</f>
        <v>44</v>
      </c>
      <c r="B46" t="s">
        <v>75</v>
      </c>
      <c r="C46" t="s">
        <v>6</v>
      </c>
      <c r="D46">
        <v>0</v>
      </c>
      <c r="E46" t="s">
        <v>4</v>
      </c>
      <c r="F46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8835D-C5E1-4D14-A337-01CA5B66900E}">
  <dimension ref="A1:H46"/>
  <sheetViews>
    <sheetView workbookViewId="0">
      <selection activeCell="H15" sqref="H15"/>
    </sheetView>
  </sheetViews>
  <sheetFormatPr defaultRowHeight="15" x14ac:dyDescent="0.25"/>
  <cols>
    <col min="3" max="3" width="26.140625" customWidth="1"/>
    <col min="5" max="5" width="33.140625" bestFit="1" customWidth="1"/>
    <col min="8" max="8" width="21.85546875" customWidth="1"/>
  </cols>
  <sheetData>
    <row r="1" spans="1:8" x14ac:dyDescent="0.25">
      <c r="A1" t="s">
        <v>129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</row>
    <row r="2" spans="1:8" x14ac:dyDescent="0.25">
      <c r="A2">
        <v>0</v>
      </c>
      <c r="B2">
        <v>0</v>
      </c>
      <c r="C2" t="str">
        <f>VLOOKUP(B2, CardValue!A:B, 2, FALSE)</f>
        <v>Bandage</v>
      </c>
      <c r="D2">
        <v>2</v>
      </c>
      <c r="E2" t="str">
        <f>VLOOKUP(D2, CardValue!A:B, 2, FALSE)</f>
        <v>Medkit</v>
      </c>
      <c r="F2">
        <v>0.1</v>
      </c>
      <c r="G2">
        <v>11</v>
      </c>
      <c r="H2" t="str">
        <f>VLOOKUP(G2, CardValue!A:B, 2, FALSE)</f>
        <v>Field Surgery Kit</v>
      </c>
    </row>
    <row r="3" spans="1:8" x14ac:dyDescent="0.25">
      <c r="A3">
        <v>1</v>
      </c>
      <c r="B3">
        <v>0</v>
      </c>
      <c r="C3" t="str">
        <f>VLOOKUP(B3, CardValue!A:B, 2, FALSE)</f>
        <v>Bandage</v>
      </c>
      <c r="D3">
        <v>1</v>
      </c>
      <c r="E3" t="str">
        <f>VLOOKUP(D3, CardValue!A:B, 2, FALSE)</f>
        <v>Syringe</v>
      </c>
      <c r="F3">
        <v>0.1</v>
      </c>
      <c r="G3">
        <v>12</v>
      </c>
      <c r="H3" t="str">
        <f>VLOOKUP(G3, CardValue!A:B, 2, FALSE)</f>
        <v>Adrenal Medkit</v>
      </c>
    </row>
    <row r="4" spans="1:8" x14ac:dyDescent="0.25">
      <c r="A4">
        <v>2</v>
      </c>
      <c r="B4">
        <v>0</v>
      </c>
      <c r="C4" t="str">
        <f>VLOOKUP(B4, CardValue!A:B, 2, FALSE)</f>
        <v>Bandage</v>
      </c>
      <c r="D4">
        <v>4</v>
      </c>
      <c r="E4" t="str">
        <f>VLOOKUP(D4, CardValue!A:B, 2, FALSE)</f>
        <v>Emergency Capsule</v>
      </c>
      <c r="F4">
        <v>0.1</v>
      </c>
      <c r="G4">
        <v>13</v>
      </c>
      <c r="H4" t="str">
        <f>VLOOKUP(G4, CardValue!A:B, 2, FALSE)</f>
        <v>Combat Patch</v>
      </c>
    </row>
    <row r="5" spans="1:8" x14ac:dyDescent="0.25">
      <c r="A5">
        <v>3</v>
      </c>
      <c r="B5">
        <v>0</v>
      </c>
      <c r="C5" t="str">
        <f>VLOOKUP(B5, CardValue!A:B, 2, FALSE)</f>
        <v>Bandage</v>
      </c>
      <c r="D5">
        <v>5</v>
      </c>
      <c r="E5" t="str">
        <f>VLOOKUP(D5, CardValue!A:B, 2, FALSE)</f>
        <v>Fury Catalyst</v>
      </c>
      <c r="F5">
        <v>0.1</v>
      </c>
      <c r="G5">
        <v>14</v>
      </c>
      <c r="H5" t="str">
        <f>VLOOKUP(G5, CardValue!A:B, 2, FALSE)</f>
        <v>Berserker Wrap</v>
      </c>
    </row>
    <row r="6" spans="1:8" x14ac:dyDescent="0.25">
      <c r="A6">
        <v>4</v>
      </c>
      <c r="B6">
        <v>0</v>
      </c>
      <c r="C6" t="str">
        <f>VLOOKUP(B6, CardValue!A:B, 2, FALSE)</f>
        <v>Bandage</v>
      </c>
      <c r="D6">
        <v>6</v>
      </c>
      <c r="E6" t="str">
        <f>VLOOKUP(D6, CardValue!A:B, 2, FALSE)</f>
        <v>Stamina Capsule</v>
      </c>
      <c r="F6">
        <v>0.1</v>
      </c>
      <c r="G6">
        <v>15</v>
      </c>
      <c r="H6" t="str">
        <f>VLOOKUP(G6, CardValue!A:B, 2, FALSE)</f>
        <v>Stimulant Wrap</v>
      </c>
    </row>
    <row r="7" spans="1:8" x14ac:dyDescent="0.25">
      <c r="A7">
        <v>5</v>
      </c>
      <c r="B7">
        <v>0</v>
      </c>
      <c r="C7" t="str">
        <f>VLOOKUP(B7, CardValue!A:B, 2, FALSE)</f>
        <v>Bandage</v>
      </c>
      <c r="D7">
        <v>7</v>
      </c>
      <c r="E7" t="str">
        <f>VLOOKUP(D7, CardValue!A:B, 2, FALSE)</f>
        <v>Reflex Tonic</v>
      </c>
      <c r="F7">
        <v>0.1</v>
      </c>
      <c r="G7">
        <v>16</v>
      </c>
      <c r="H7" t="str">
        <f>VLOOKUP(G7, CardValue!A:B, 2, FALSE)</f>
        <v>Liquid Courage Kit</v>
      </c>
    </row>
    <row r="8" spans="1:8" x14ac:dyDescent="0.25">
      <c r="A8">
        <v>6</v>
      </c>
      <c r="B8">
        <v>1</v>
      </c>
      <c r="C8" t="str">
        <f>VLOOKUP(B8, CardValue!A:B, 2, FALSE)</f>
        <v>Syringe</v>
      </c>
      <c r="D8">
        <v>2</v>
      </c>
      <c r="E8" t="str">
        <f>VLOOKUP(D8, CardValue!A:B, 2, FALSE)</f>
        <v>Medkit</v>
      </c>
      <c r="F8">
        <v>0.1</v>
      </c>
      <c r="G8">
        <v>17</v>
      </c>
      <c r="H8" t="str">
        <f>VLOOKUP(G8, CardValue!A:B, 2, FALSE)</f>
        <v>Rapid Recovery Injector</v>
      </c>
    </row>
    <row r="9" spans="1:8" x14ac:dyDescent="0.25">
      <c r="A9">
        <v>7</v>
      </c>
      <c r="B9">
        <v>1</v>
      </c>
      <c r="C9" t="str">
        <f>VLOOKUP(B9, CardValue!A:B, 2, FALSE)</f>
        <v>Syringe</v>
      </c>
      <c r="D9">
        <v>3</v>
      </c>
      <c r="E9" t="str">
        <f>VLOOKUP(D9, CardValue!A:B, 2, FALSE)</f>
        <v>Revival Serum</v>
      </c>
      <c r="F9">
        <v>0.1</v>
      </c>
      <c r="G9">
        <v>18</v>
      </c>
      <c r="H9" t="str">
        <f>VLOOKUP(G9, CardValue!A:B, 2, FALSE)</f>
        <v>Phoenix Shot</v>
      </c>
    </row>
    <row r="10" spans="1:8" x14ac:dyDescent="0.25">
      <c r="A10">
        <v>8</v>
      </c>
      <c r="B10">
        <v>1</v>
      </c>
      <c r="C10" t="str">
        <f>VLOOKUP(B10, CardValue!A:B, 2, FALSE)</f>
        <v>Syringe</v>
      </c>
      <c r="D10">
        <v>7</v>
      </c>
      <c r="E10" t="str">
        <f>VLOOKUP(D10, CardValue!A:B, 2, FALSE)</f>
        <v>Reflex Tonic</v>
      </c>
      <c r="F10">
        <v>0.1</v>
      </c>
      <c r="G10">
        <v>19</v>
      </c>
      <c r="H10" t="str">
        <f>VLOOKUP(G10, CardValue!A:B, 2, FALSE)</f>
        <v>Enhanced Focus</v>
      </c>
    </row>
    <row r="11" spans="1:8" x14ac:dyDescent="0.25">
      <c r="A11">
        <v>9</v>
      </c>
      <c r="B11">
        <v>4</v>
      </c>
      <c r="C11" t="str">
        <f>VLOOKUP(B11, CardValue!A:B, 2, FALSE)</f>
        <v>Emergency Capsule</v>
      </c>
      <c r="D11">
        <v>5</v>
      </c>
      <c r="E11" t="str">
        <f>VLOOKUP(D11, CardValue!A:B, 2, FALSE)</f>
        <v>Fury Catalyst</v>
      </c>
      <c r="F11">
        <v>0.1</v>
      </c>
      <c r="G11">
        <v>20</v>
      </c>
      <c r="H11" t="str">
        <f>VLOOKUP(G11, CardValue!A:B, 2, FALSE)</f>
        <v>Overdrive Dose</v>
      </c>
    </row>
    <row r="12" spans="1:8" x14ac:dyDescent="0.25">
      <c r="A12">
        <v>10</v>
      </c>
      <c r="B12">
        <v>4</v>
      </c>
      <c r="C12" t="str">
        <f>VLOOKUP(B12, CardValue!A:B, 2, FALSE)</f>
        <v>Emergency Capsule</v>
      </c>
      <c r="D12">
        <v>1</v>
      </c>
      <c r="E12" t="str">
        <f>VLOOKUP(D12, CardValue!A:B, 2, FALSE)</f>
        <v>Syringe</v>
      </c>
      <c r="F12">
        <v>0.1</v>
      </c>
      <c r="G12">
        <v>21</v>
      </c>
      <c r="H12" t="str">
        <f>VLOOKUP(G12, CardValue!A:B, 2, FALSE)</f>
        <v>Combat Stimulant</v>
      </c>
    </row>
    <row r="13" spans="1:8" x14ac:dyDescent="0.25">
      <c r="A13">
        <v>11</v>
      </c>
      <c r="B13">
        <v>4</v>
      </c>
      <c r="C13" t="str">
        <f>VLOOKUP(B13, CardValue!A:B, 2, FALSE)</f>
        <v>Emergency Capsule</v>
      </c>
      <c r="D13">
        <v>2</v>
      </c>
      <c r="E13" t="str">
        <f>VLOOKUP(D13, CardValue!A:B, 2, FALSE)</f>
        <v>Medkit</v>
      </c>
      <c r="F13">
        <v>0.1</v>
      </c>
      <c r="G13">
        <v>22</v>
      </c>
      <c r="H13" t="str">
        <f>VLOOKUP(G13, CardValue!A:B, 2, FALSE)</f>
        <v>Balanced Formula</v>
      </c>
    </row>
    <row r="14" spans="1:8" x14ac:dyDescent="0.25">
      <c r="A14">
        <v>12</v>
      </c>
      <c r="B14">
        <v>4</v>
      </c>
      <c r="C14" t="str">
        <f>VLOOKUP(B14, CardValue!A:B, 2, FALSE)</f>
        <v>Emergency Capsule</v>
      </c>
      <c r="D14">
        <v>3</v>
      </c>
      <c r="E14" t="str">
        <f>VLOOKUP(D14, CardValue!A:B, 2, FALSE)</f>
        <v>Revival Serum</v>
      </c>
      <c r="F14">
        <v>0.1</v>
      </c>
      <c r="G14">
        <v>23</v>
      </c>
      <c r="H14" t="str">
        <f>VLOOKUP(G14, CardValue!A:B, 2, FALSE)</f>
        <v>Rebirth Capsule</v>
      </c>
    </row>
    <row r="15" spans="1:8" x14ac:dyDescent="0.25">
      <c r="A15">
        <v>13</v>
      </c>
      <c r="B15">
        <v>4</v>
      </c>
      <c r="C15" t="str">
        <f>VLOOKUP(B15, CardValue!A:B, 2, FALSE)</f>
        <v>Emergency Capsule</v>
      </c>
      <c r="D15">
        <v>6</v>
      </c>
      <c r="E15" t="str">
        <f>VLOOKUP(D15, CardValue!A:B, 2, FALSE)</f>
        <v>Stamina Capsule</v>
      </c>
      <c r="F15">
        <v>0.1</v>
      </c>
      <c r="G15">
        <v>24</v>
      </c>
      <c r="H15" t="str">
        <f>VLOOKUP(G15, CardValue!A:B, 2, FALSE)</f>
        <v>Titan Formula</v>
      </c>
    </row>
    <row r="16" spans="1:8" x14ac:dyDescent="0.25">
      <c r="A16">
        <v>14</v>
      </c>
      <c r="B16">
        <v>4</v>
      </c>
      <c r="C16" t="str">
        <f>VLOOKUP(B16, CardValue!A:B, 2, FALSE)</f>
        <v>Emergency Capsule</v>
      </c>
      <c r="D16">
        <v>7</v>
      </c>
      <c r="E16" t="str">
        <f>VLOOKUP(D16, CardValue!A:B, 2, FALSE)</f>
        <v>Reflex Tonic</v>
      </c>
      <c r="F16">
        <v>0.1</v>
      </c>
      <c r="G16">
        <v>25</v>
      </c>
      <c r="H16" t="str">
        <f>VLOOKUP(G16, CardValue!A:B, 2, FALSE)</f>
        <v>Battle Brew</v>
      </c>
    </row>
    <row r="17" spans="1:8" x14ac:dyDescent="0.25">
      <c r="A17">
        <v>15</v>
      </c>
      <c r="B17">
        <v>5</v>
      </c>
      <c r="C17" t="str">
        <f>VLOOKUP(B17, CardValue!A:B, 2, FALSE)</f>
        <v>Fury Catalyst</v>
      </c>
      <c r="D17">
        <v>1</v>
      </c>
      <c r="E17" t="str">
        <f>VLOOKUP(D17, CardValue!A:B, 2, FALSE)</f>
        <v>Syringe</v>
      </c>
      <c r="F17">
        <v>0.1</v>
      </c>
      <c r="G17">
        <v>26</v>
      </c>
      <c r="H17" t="str">
        <f>VLOOKUP(G17, CardValue!A:B, 2, FALSE)</f>
        <v>Adrenal Surge</v>
      </c>
    </row>
    <row r="18" spans="1:8" x14ac:dyDescent="0.25">
      <c r="A18">
        <v>16</v>
      </c>
      <c r="B18">
        <v>5</v>
      </c>
      <c r="C18" t="str">
        <f>VLOOKUP(B18, CardValue!A:B, 2, FALSE)</f>
        <v>Fury Catalyst</v>
      </c>
      <c r="D18">
        <v>2</v>
      </c>
      <c r="E18" t="str">
        <f>VLOOKUP(D18, CardValue!A:B, 2, FALSE)</f>
        <v>Medkit</v>
      </c>
      <c r="F18">
        <v>0.1</v>
      </c>
      <c r="G18">
        <v>27</v>
      </c>
      <c r="H18" t="str">
        <f>VLOOKUP(G18, CardValue!A:B, 2, FALSE)</f>
        <v>Berserker Serum</v>
      </c>
    </row>
    <row r="19" spans="1:8" x14ac:dyDescent="0.25">
      <c r="A19">
        <v>17</v>
      </c>
      <c r="B19">
        <v>5</v>
      </c>
      <c r="C19" t="str">
        <f>VLOOKUP(B19, CardValue!A:B, 2, FALSE)</f>
        <v>Fury Catalyst</v>
      </c>
      <c r="D19">
        <v>3</v>
      </c>
      <c r="E19" t="str">
        <f>VLOOKUP(D19, CardValue!A:B, 2, FALSE)</f>
        <v>Revival Serum</v>
      </c>
      <c r="F19">
        <v>0.1</v>
      </c>
      <c r="G19">
        <v>28</v>
      </c>
      <c r="H19" t="str">
        <f>VLOOKUP(G19, CardValue!A:B, 2, FALSE)</f>
        <v>Fury Rebirth</v>
      </c>
    </row>
    <row r="20" spans="1:8" x14ac:dyDescent="0.25">
      <c r="A20">
        <v>18</v>
      </c>
      <c r="B20">
        <v>5</v>
      </c>
      <c r="C20" t="str">
        <f>VLOOKUP(B20, CardValue!A:B, 2, FALSE)</f>
        <v>Fury Catalyst</v>
      </c>
      <c r="D20">
        <v>6</v>
      </c>
      <c r="E20" t="str">
        <f>VLOOKUP(D20, CardValue!A:B, 2, FALSE)</f>
        <v>Stamina Capsule</v>
      </c>
      <c r="F20">
        <v>0.1</v>
      </c>
      <c r="G20">
        <v>29</v>
      </c>
      <c r="H20" t="str">
        <f>VLOOKUP(G20, CardValue!A:B, 2, FALSE)</f>
        <v>Aggression Compound</v>
      </c>
    </row>
    <row r="21" spans="1:8" x14ac:dyDescent="0.25">
      <c r="A21">
        <v>19</v>
      </c>
      <c r="B21">
        <v>5</v>
      </c>
      <c r="C21" t="str">
        <f>VLOOKUP(B21, CardValue!A:B, 2, FALSE)</f>
        <v>Fury Catalyst</v>
      </c>
      <c r="D21">
        <v>7</v>
      </c>
      <c r="E21" t="str">
        <f>VLOOKUP(D21, CardValue!A:B, 2, FALSE)</f>
        <v>Reflex Tonic</v>
      </c>
      <c r="F21">
        <v>0.1</v>
      </c>
      <c r="G21">
        <v>30</v>
      </c>
      <c r="H21" t="str">
        <f>VLOOKUP(G21, CardValue!A:B, 2, FALSE)</f>
        <v>Battle Frenzy</v>
      </c>
    </row>
    <row r="22" spans="1:8" x14ac:dyDescent="0.25">
      <c r="A22">
        <v>20</v>
      </c>
      <c r="B22">
        <v>6</v>
      </c>
      <c r="C22" t="str">
        <f>VLOOKUP(B22, CardValue!A:B, 2, FALSE)</f>
        <v>Stamina Capsule</v>
      </c>
      <c r="D22">
        <v>2</v>
      </c>
      <c r="E22" t="str">
        <f>VLOOKUP(D22, CardValue!A:B, 2, FALSE)</f>
        <v>Medkit</v>
      </c>
      <c r="F22">
        <v>0.1</v>
      </c>
      <c r="G22">
        <v>31</v>
      </c>
      <c r="H22" t="str">
        <f>VLOOKUP(G22, CardValue!A:B, 2, FALSE)</f>
        <v>Adrenal Mix</v>
      </c>
    </row>
    <row r="23" spans="1:8" x14ac:dyDescent="0.25">
      <c r="A23">
        <v>21</v>
      </c>
      <c r="B23">
        <v>6</v>
      </c>
      <c r="C23" t="str">
        <f>VLOOKUP(B23, CardValue!A:B, 2, FALSE)</f>
        <v>Stamina Capsule</v>
      </c>
      <c r="D23">
        <v>1</v>
      </c>
      <c r="E23" t="str">
        <f>VLOOKUP(D23, CardValue!A:B, 2, FALSE)</f>
        <v>Syringe</v>
      </c>
      <c r="F23">
        <v>0.1</v>
      </c>
      <c r="G23">
        <v>32</v>
      </c>
      <c r="H23" t="str">
        <f>VLOOKUP(G23, CardValue!A:B, 2, FALSE)</f>
        <v>Reflex Booster</v>
      </c>
    </row>
    <row r="24" spans="1:8" x14ac:dyDescent="0.25">
      <c r="A24">
        <v>22</v>
      </c>
      <c r="B24">
        <v>6</v>
      </c>
      <c r="C24" t="str">
        <f>VLOOKUP(B24, CardValue!A:B, 2, FALSE)</f>
        <v>Stamina Capsule</v>
      </c>
      <c r="D24">
        <v>3</v>
      </c>
      <c r="E24" t="str">
        <f>VLOOKUP(D24, CardValue!A:B, 2, FALSE)</f>
        <v>Revival Serum</v>
      </c>
      <c r="F24">
        <v>0.1</v>
      </c>
      <c r="G24">
        <v>33</v>
      </c>
      <c r="H24" t="str">
        <f>VLOOKUP(G24, CardValue!A:B, 2, FALSE)</f>
        <v>Bio-Regen Formula</v>
      </c>
    </row>
    <row r="25" spans="1:8" x14ac:dyDescent="0.25">
      <c r="A25">
        <v>23</v>
      </c>
      <c r="B25">
        <v>6</v>
      </c>
      <c r="C25" t="str">
        <f>VLOOKUP(B25, CardValue!A:B, 2, FALSE)</f>
        <v>Stamina Capsule</v>
      </c>
      <c r="D25">
        <v>7</v>
      </c>
      <c r="E25" t="str">
        <f>VLOOKUP(D25, CardValue!A:B, 2, FALSE)</f>
        <v>Reflex Tonic</v>
      </c>
      <c r="F25">
        <v>0.1</v>
      </c>
      <c r="G25">
        <v>34</v>
      </c>
      <c r="H25" t="str">
        <f>VLOOKUP(G25, CardValue!A:B, 2, FALSE)</f>
        <v>Nerve Enhancer</v>
      </c>
    </row>
    <row r="26" spans="1:8" x14ac:dyDescent="0.25">
      <c r="A26">
        <v>24</v>
      </c>
      <c r="B26">
        <v>2</v>
      </c>
      <c r="C26" t="str">
        <f>VLOOKUP(B26, CardValue!A:B, 2, FALSE)</f>
        <v>Medkit</v>
      </c>
      <c r="D26">
        <v>7</v>
      </c>
      <c r="E26" t="str">
        <f>VLOOKUP(D26, CardValue!A:B, 2, FALSE)</f>
        <v>Reflex Tonic</v>
      </c>
      <c r="F26">
        <v>0.1</v>
      </c>
      <c r="G26">
        <v>35</v>
      </c>
      <c r="H26" t="str">
        <f>VLOOKUP(G26, CardValue!A:B, 2, FALSE)</f>
        <v>Survivor's Brew</v>
      </c>
    </row>
    <row r="27" spans="1:8" x14ac:dyDescent="0.25">
      <c r="A27">
        <v>25</v>
      </c>
      <c r="B27">
        <v>7</v>
      </c>
      <c r="C27" t="str">
        <f>VLOOKUP(B27, CardValue!A:B, 2, FALSE)</f>
        <v>Reflex Tonic</v>
      </c>
      <c r="D27">
        <v>3</v>
      </c>
      <c r="E27" t="str">
        <f>VLOOKUP(D27, CardValue!A:B, 2, FALSE)</f>
        <v>Revival Serum</v>
      </c>
      <c r="F27">
        <v>0.1</v>
      </c>
      <c r="G27">
        <v>36</v>
      </c>
      <c r="H27" t="str">
        <f>VLOOKUP(G27, CardValue!A:B, 2, FALSE)</f>
        <v>Soul Brew</v>
      </c>
    </row>
    <row r="28" spans="1:8" x14ac:dyDescent="0.25">
      <c r="A28">
        <v>26</v>
      </c>
      <c r="B28">
        <v>0</v>
      </c>
      <c r="C28" t="str">
        <f>VLOOKUP(B28, CardValue!A:B, 2, FALSE)</f>
        <v>Bandage</v>
      </c>
      <c r="D28">
        <v>2</v>
      </c>
      <c r="E28" t="str">
        <f>VLOOKUP(D28, CardValue!A:B, 2, FALSE)</f>
        <v>Medkit</v>
      </c>
      <c r="F28">
        <v>0.1</v>
      </c>
      <c r="G28">
        <v>11</v>
      </c>
      <c r="H28" t="str">
        <f>VLOOKUP(G28, CardValue!A:B, 2, FALSE)</f>
        <v>Field Surgery Kit</v>
      </c>
    </row>
    <row r="29" spans="1:8" x14ac:dyDescent="0.25">
      <c r="A29">
        <v>27</v>
      </c>
      <c r="B29">
        <v>0</v>
      </c>
      <c r="C29" t="str">
        <f>VLOOKUP(B29, CardValue!A:B, 2, FALSE)</f>
        <v>Bandage</v>
      </c>
      <c r="D29">
        <v>2</v>
      </c>
      <c r="E29" t="str">
        <f>VLOOKUP(D29, CardValue!A:B, 2, FALSE)</f>
        <v>Medkit</v>
      </c>
      <c r="F29">
        <v>0.1</v>
      </c>
      <c r="G29">
        <v>11</v>
      </c>
      <c r="H29" t="str">
        <f>VLOOKUP(G29, CardValue!A:B, 2, FALSE)</f>
        <v>Field Surgery Kit</v>
      </c>
    </row>
    <row r="30" spans="1:8" x14ac:dyDescent="0.25">
      <c r="A30">
        <v>28</v>
      </c>
      <c r="B30">
        <v>0</v>
      </c>
      <c r="C30" t="str">
        <f>VLOOKUP(B30, CardValue!A:B, 2, FALSE)</f>
        <v>Bandage</v>
      </c>
      <c r="D30">
        <v>2</v>
      </c>
      <c r="E30" t="str">
        <f>VLOOKUP(D30, CardValue!A:B, 2, FALSE)</f>
        <v>Medkit</v>
      </c>
      <c r="F30">
        <v>0.1</v>
      </c>
      <c r="G30">
        <v>11</v>
      </c>
      <c r="H30" t="str">
        <f>VLOOKUP(G30, CardValue!A:B, 2, FALSE)</f>
        <v>Field Surgery Kit</v>
      </c>
    </row>
    <row r="31" spans="1:8" x14ac:dyDescent="0.25">
      <c r="A31">
        <v>29</v>
      </c>
      <c r="B31">
        <v>0</v>
      </c>
      <c r="C31" t="str">
        <f>VLOOKUP(B31, CardValue!A:B, 2, FALSE)</f>
        <v>Bandage</v>
      </c>
      <c r="D31">
        <v>2</v>
      </c>
      <c r="E31" t="str">
        <f>VLOOKUP(D31, CardValue!A:B, 2, FALSE)</f>
        <v>Medkit</v>
      </c>
      <c r="F31">
        <v>0.1</v>
      </c>
      <c r="G31">
        <v>11</v>
      </c>
      <c r="H31" t="str">
        <f>VLOOKUP(G31, CardValue!A:B, 2, FALSE)</f>
        <v>Field Surgery Kit</v>
      </c>
    </row>
    <row r="32" spans="1:8" x14ac:dyDescent="0.25">
      <c r="A32">
        <v>30</v>
      </c>
      <c r="B32">
        <v>0</v>
      </c>
      <c r="C32" t="str">
        <f>VLOOKUP(B32, CardValue!A:B, 2, FALSE)</f>
        <v>Bandage</v>
      </c>
      <c r="D32">
        <v>2</v>
      </c>
      <c r="E32" t="str">
        <f>VLOOKUP(D32, CardValue!A:B, 2, FALSE)</f>
        <v>Medkit</v>
      </c>
      <c r="F32">
        <v>0.1</v>
      </c>
      <c r="G32">
        <v>11</v>
      </c>
      <c r="H32" t="str">
        <f>VLOOKUP(G32, CardValue!A:B, 2, FALSE)</f>
        <v>Field Surgery Kit</v>
      </c>
    </row>
    <row r="33" spans="1:8" x14ac:dyDescent="0.25">
      <c r="A33">
        <v>31</v>
      </c>
      <c r="B33">
        <v>0</v>
      </c>
      <c r="C33" t="str">
        <f>VLOOKUP(B33, CardValue!A:B, 2, FALSE)</f>
        <v>Bandage</v>
      </c>
      <c r="D33">
        <v>2</v>
      </c>
      <c r="E33" t="str">
        <f>VLOOKUP(D33, CardValue!A:B, 2, FALSE)</f>
        <v>Medkit</v>
      </c>
      <c r="F33">
        <v>0.1</v>
      </c>
      <c r="G33">
        <v>11</v>
      </c>
      <c r="H33" t="str">
        <f>VLOOKUP(G33, CardValue!A:B, 2, FALSE)</f>
        <v>Field Surgery Kit</v>
      </c>
    </row>
    <row r="34" spans="1:8" x14ac:dyDescent="0.25">
      <c r="A34">
        <v>32</v>
      </c>
      <c r="B34">
        <v>0</v>
      </c>
      <c r="C34" t="str">
        <f>VLOOKUP(B34, CardValue!A:B, 2, FALSE)</f>
        <v>Bandage</v>
      </c>
      <c r="D34">
        <v>2</v>
      </c>
      <c r="E34" t="str">
        <f>VLOOKUP(D34, CardValue!A:B, 2, FALSE)</f>
        <v>Medkit</v>
      </c>
      <c r="F34">
        <v>0.1</v>
      </c>
      <c r="G34">
        <v>11</v>
      </c>
      <c r="H34" t="str">
        <f>VLOOKUP(G34, CardValue!A:B, 2, FALSE)</f>
        <v>Field Surgery Kit</v>
      </c>
    </row>
    <row r="35" spans="1:8" x14ac:dyDescent="0.25">
      <c r="A35">
        <v>33</v>
      </c>
      <c r="B35">
        <v>0</v>
      </c>
      <c r="C35" t="str">
        <f>VLOOKUP(B35, CardValue!A:B, 2, FALSE)</f>
        <v>Bandage</v>
      </c>
      <c r="D35">
        <v>2</v>
      </c>
      <c r="E35" t="str">
        <f>VLOOKUP(D35, CardValue!A:B, 2, FALSE)</f>
        <v>Medkit</v>
      </c>
      <c r="F35">
        <v>0.1</v>
      </c>
      <c r="G35">
        <v>11</v>
      </c>
      <c r="H35" t="str">
        <f>VLOOKUP(G35, CardValue!A:B, 2, FALSE)</f>
        <v>Field Surgery Kit</v>
      </c>
    </row>
    <row r="36" spans="1:8" x14ac:dyDescent="0.25">
      <c r="A36">
        <v>34</v>
      </c>
      <c r="B36">
        <v>0</v>
      </c>
      <c r="C36" t="str">
        <f>VLOOKUP(B36, CardValue!A:B, 2, FALSE)</f>
        <v>Bandage</v>
      </c>
      <c r="D36">
        <v>2</v>
      </c>
      <c r="E36" t="str">
        <f>VLOOKUP(D36, CardValue!A:B, 2, FALSE)</f>
        <v>Medkit</v>
      </c>
      <c r="F36">
        <v>0.1</v>
      </c>
      <c r="G36">
        <v>11</v>
      </c>
      <c r="H36" t="str">
        <f>VLOOKUP(G36, CardValue!A:B, 2, FALSE)</f>
        <v>Field Surgery Kit</v>
      </c>
    </row>
    <row r="37" spans="1:8" x14ac:dyDescent="0.25">
      <c r="A37">
        <v>35</v>
      </c>
      <c r="B37">
        <v>0</v>
      </c>
      <c r="C37" t="str">
        <f>VLOOKUP(B37, CardValue!A:B, 2, FALSE)</f>
        <v>Bandage</v>
      </c>
      <c r="D37">
        <v>2</v>
      </c>
      <c r="E37" t="str">
        <f>VLOOKUP(D37, CardValue!A:B, 2, FALSE)</f>
        <v>Medkit</v>
      </c>
      <c r="F37">
        <v>0.1</v>
      </c>
      <c r="G37">
        <v>11</v>
      </c>
      <c r="H37" t="str">
        <f>VLOOKUP(G37, CardValue!A:B, 2, FALSE)</f>
        <v>Field Surgery Kit</v>
      </c>
    </row>
    <row r="38" spans="1:8" x14ac:dyDescent="0.25">
      <c r="A38">
        <v>36</v>
      </c>
      <c r="B38">
        <v>0</v>
      </c>
      <c r="C38" t="str">
        <f>VLOOKUP(B38, CardValue!A:B, 2, FALSE)</f>
        <v>Bandage</v>
      </c>
      <c r="D38">
        <v>2</v>
      </c>
      <c r="E38" t="str">
        <f>VLOOKUP(D38, CardValue!A:B, 2, FALSE)</f>
        <v>Medkit</v>
      </c>
      <c r="F38">
        <v>0.1</v>
      </c>
      <c r="G38">
        <v>11</v>
      </c>
      <c r="H38" t="str">
        <f>VLOOKUP(G38, CardValue!A:B, 2, FALSE)</f>
        <v>Field Surgery Kit</v>
      </c>
    </row>
    <row r="39" spans="1:8" x14ac:dyDescent="0.25">
      <c r="A39">
        <v>37</v>
      </c>
      <c r="B39">
        <v>0</v>
      </c>
      <c r="C39" t="str">
        <f>VLOOKUP(B39, CardValue!A:B, 2, FALSE)</f>
        <v>Bandage</v>
      </c>
      <c r="D39">
        <v>2</v>
      </c>
      <c r="E39" t="str">
        <f>VLOOKUP(D39, CardValue!A:B, 2, FALSE)</f>
        <v>Medkit</v>
      </c>
      <c r="F39">
        <v>0.1</v>
      </c>
      <c r="G39">
        <v>11</v>
      </c>
      <c r="H39" t="str">
        <f>VLOOKUP(G39, CardValue!A:B, 2, FALSE)</f>
        <v>Field Surgery Kit</v>
      </c>
    </row>
    <row r="40" spans="1:8" x14ac:dyDescent="0.25">
      <c r="A40">
        <v>38</v>
      </c>
      <c r="B40">
        <v>0</v>
      </c>
      <c r="C40" t="str">
        <f>VLOOKUP(B40, CardValue!A:B, 2, FALSE)</f>
        <v>Bandage</v>
      </c>
      <c r="D40">
        <v>2</v>
      </c>
      <c r="E40" t="str">
        <f>VLOOKUP(D40, CardValue!A:B, 2, FALSE)</f>
        <v>Medkit</v>
      </c>
      <c r="F40">
        <v>0.1</v>
      </c>
      <c r="G40">
        <v>11</v>
      </c>
      <c r="H40" t="str">
        <f>VLOOKUP(G40, CardValue!A:B, 2, FALSE)</f>
        <v>Field Surgery Kit</v>
      </c>
    </row>
    <row r="41" spans="1:8" x14ac:dyDescent="0.25">
      <c r="A41">
        <v>39</v>
      </c>
      <c r="B41">
        <v>0</v>
      </c>
      <c r="C41" t="str">
        <f>VLOOKUP(B41, CardValue!A:B, 2, FALSE)</f>
        <v>Bandage</v>
      </c>
      <c r="D41">
        <v>2</v>
      </c>
      <c r="E41" t="str">
        <f>VLOOKUP(D41, CardValue!A:B, 2, FALSE)</f>
        <v>Medkit</v>
      </c>
      <c r="F41">
        <v>0.1</v>
      </c>
      <c r="G41">
        <v>11</v>
      </c>
      <c r="H41" t="str">
        <f>VLOOKUP(G41, CardValue!A:B, 2, FALSE)</f>
        <v>Field Surgery Kit</v>
      </c>
    </row>
    <row r="42" spans="1:8" x14ac:dyDescent="0.25">
      <c r="A42">
        <v>40</v>
      </c>
      <c r="B42">
        <v>0</v>
      </c>
      <c r="C42" t="str">
        <f>VLOOKUP(B42, CardValue!A:B, 2, FALSE)</f>
        <v>Bandage</v>
      </c>
      <c r="D42">
        <v>2</v>
      </c>
      <c r="E42" t="str">
        <f>VLOOKUP(D42, CardValue!A:B, 2, FALSE)</f>
        <v>Medkit</v>
      </c>
      <c r="F42">
        <v>0.1</v>
      </c>
      <c r="G42">
        <v>11</v>
      </c>
      <c r="H42" t="str">
        <f>VLOOKUP(G42, CardValue!A:B, 2, FALSE)</f>
        <v>Field Surgery Kit</v>
      </c>
    </row>
    <row r="43" spans="1:8" x14ac:dyDescent="0.25">
      <c r="A43">
        <v>41</v>
      </c>
      <c r="B43">
        <v>0</v>
      </c>
      <c r="C43" t="str">
        <f>VLOOKUP(B43, CardValue!A:B, 2, FALSE)</f>
        <v>Bandage</v>
      </c>
      <c r="D43">
        <v>2</v>
      </c>
      <c r="E43" t="str">
        <f>VLOOKUP(D43, CardValue!A:B, 2, FALSE)</f>
        <v>Medkit</v>
      </c>
      <c r="F43">
        <v>0.1</v>
      </c>
      <c r="G43">
        <v>11</v>
      </c>
      <c r="H43" t="str">
        <f>VLOOKUP(G43, CardValue!A:B, 2, FALSE)</f>
        <v>Field Surgery Kit</v>
      </c>
    </row>
    <row r="44" spans="1:8" x14ac:dyDescent="0.25">
      <c r="A44">
        <v>42</v>
      </c>
      <c r="B44">
        <v>0</v>
      </c>
      <c r="C44" t="str">
        <f>VLOOKUP(B44, CardValue!A:B, 2, FALSE)</f>
        <v>Bandage</v>
      </c>
      <c r="D44">
        <v>2</v>
      </c>
      <c r="E44" t="str">
        <f>VLOOKUP(D44, CardValue!A:B, 2, FALSE)</f>
        <v>Medkit</v>
      </c>
      <c r="F44">
        <v>0.1</v>
      </c>
      <c r="G44">
        <v>11</v>
      </c>
      <c r="H44" t="str">
        <f>VLOOKUP(G44, CardValue!A:B, 2, FALSE)</f>
        <v>Field Surgery Kit</v>
      </c>
    </row>
    <row r="45" spans="1:8" x14ac:dyDescent="0.25">
      <c r="A45">
        <v>43</v>
      </c>
      <c r="B45">
        <v>0</v>
      </c>
      <c r="C45" t="str">
        <f>VLOOKUP(B45, CardValue!A:B, 2, FALSE)</f>
        <v>Bandage</v>
      </c>
      <c r="D45">
        <v>2</v>
      </c>
      <c r="E45" t="str">
        <f>VLOOKUP(D45, CardValue!A:B, 2, FALSE)</f>
        <v>Medkit</v>
      </c>
      <c r="F45">
        <v>0.1</v>
      </c>
      <c r="G45">
        <v>11</v>
      </c>
      <c r="H45" t="str">
        <f>VLOOKUP(G45, CardValue!A:B, 2, FALSE)</f>
        <v>Field Surgery Kit</v>
      </c>
    </row>
    <row r="46" spans="1:8" x14ac:dyDescent="0.25">
      <c r="A46">
        <v>44</v>
      </c>
      <c r="B46">
        <v>0</v>
      </c>
      <c r="C46" t="str">
        <f>VLOOKUP(B46, CardValue!A:B, 2, FALSE)</f>
        <v>Bandage</v>
      </c>
      <c r="D46">
        <v>2</v>
      </c>
      <c r="E46" t="str">
        <f>VLOOKUP(D46, CardValue!A:B, 2, FALSE)</f>
        <v>Medkit</v>
      </c>
      <c r="F46">
        <v>0.1</v>
      </c>
      <c r="G46">
        <v>11</v>
      </c>
      <c r="H46" t="str">
        <f>VLOOKUP(G46, CardValue!A:B, 2, FALSE)</f>
        <v>Field Surgery Kit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ECE161-B77E-4584-9C3C-7CC8746D79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CardValue</vt:lpstr>
      <vt:lpstr>CardFunction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meng</dc:creator>
  <cp:lastModifiedBy>Vince Luong</cp:lastModifiedBy>
  <dcterms:created xsi:type="dcterms:W3CDTF">2015-06-05T18:17:20Z</dcterms:created>
  <dcterms:modified xsi:type="dcterms:W3CDTF">2025-12-06T01:17:39Z</dcterms:modified>
</cp:coreProperties>
</file>